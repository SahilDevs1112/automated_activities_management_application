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khuntia\Music\Dot Net\Automated Activities\Automated Files\"/>
    </mc:Choice>
  </mc:AlternateContent>
  <xr:revisionPtr revIDLastSave="0" documentId="13_ncr:1_{C0A6AE9A-C534-44CC-831B-2A0DEC06CFF9}" xr6:coauthVersionLast="47" xr6:coauthVersionMax="47" xr10:uidLastSave="{00000000-0000-0000-0000-000000000000}"/>
  <bookViews>
    <workbookView xWindow="3204" yWindow="3204" windowWidth="17280" windowHeight="8964" xr2:uid="{00000000-000D-0000-FFFF-FFFF00000000}"/>
  </bookViews>
  <sheets>
    <sheet name="USI" sheetId="4" r:id="rId1"/>
    <sheet name="Sheet1" sheetId="3" r:id="rId2"/>
  </sheets>
  <functionGroups builtInGroupCount="19"/>
  <definedNames>
    <definedName name="_xlnm._FilterDatabase" localSheetId="0" hidden="1">USI!$A$3:$O$3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2" i="4" l="1"/>
  <c r="N72" i="4"/>
  <c r="M73" i="4"/>
  <c r="N73" i="4"/>
  <c r="M74" i="4"/>
  <c r="N74" i="4"/>
  <c r="M75" i="4"/>
  <c r="N75" i="4"/>
  <c r="M78" i="4"/>
  <c r="N78" i="4"/>
  <c r="M81" i="4"/>
  <c r="N81" i="4"/>
  <c r="M82" i="4"/>
  <c r="N82" i="4"/>
  <c r="M83" i="4"/>
  <c r="N83" i="4"/>
  <c r="M89" i="4"/>
  <c r="N89" i="4"/>
  <c r="M90" i="4"/>
  <c r="N90" i="4"/>
  <c r="M91" i="4"/>
  <c r="N91" i="4"/>
  <c r="M92" i="4"/>
  <c r="N92" i="4"/>
  <c r="M93" i="4"/>
  <c r="N93" i="4"/>
  <c r="M95" i="4"/>
  <c r="N95" i="4"/>
  <c r="M96" i="4"/>
  <c r="N96" i="4"/>
  <c r="M98" i="4"/>
  <c r="N98" i="4"/>
  <c r="M100" i="4"/>
  <c r="N100" i="4"/>
  <c r="M102" i="4"/>
  <c r="N102" i="4"/>
  <c r="M107" i="4"/>
  <c r="N107" i="4"/>
  <c r="M109" i="4"/>
  <c r="N109" i="4"/>
  <c r="M111" i="4"/>
  <c r="N111" i="4"/>
  <c r="M115" i="4"/>
  <c r="N115" i="4"/>
  <c r="N63" i="4" l="1"/>
  <c r="M63" i="4"/>
  <c r="N60" i="4"/>
  <c r="M60" i="4"/>
  <c r="N57" i="4"/>
  <c r="M57" i="4"/>
  <c r="N56" i="4"/>
  <c r="M56" i="4"/>
  <c r="N53" i="4"/>
  <c r="M53" i="4"/>
  <c r="N52" i="4"/>
  <c r="M52" i="4"/>
  <c r="N49" i="4"/>
  <c r="M49" i="4"/>
  <c r="N48" i="4"/>
  <c r="M48" i="4"/>
  <c r="N47" i="4"/>
  <c r="M47" i="4"/>
  <c r="N44" i="4"/>
  <c r="M44" i="4"/>
  <c r="N43" i="4"/>
  <c r="M43" i="4"/>
  <c r="N42" i="4"/>
  <c r="M42" i="4"/>
  <c r="N41" i="4"/>
  <c r="M41" i="4"/>
  <c r="N40" i="4"/>
  <c r="M40" i="4"/>
  <c r="N39" i="4"/>
  <c r="M39" i="4"/>
  <c r="N38" i="4"/>
  <c r="M38" i="4"/>
  <c r="N37" i="4"/>
  <c r="M37" i="4"/>
  <c r="N33" i="4"/>
  <c r="M33" i="4"/>
  <c r="N30" i="4"/>
  <c r="M30" i="4"/>
  <c r="N28" i="4"/>
  <c r="M28" i="4"/>
  <c r="N27" i="4"/>
  <c r="M27" i="4"/>
  <c r="N26" i="4"/>
  <c r="M26" i="4"/>
  <c r="N25" i="4"/>
  <c r="M25" i="4"/>
  <c r="N24" i="4"/>
  <c r="M24" i="4"/>
  <c r="N18" i="4"/>
  <c r="M18" i="4"/>
  <c r="N17" i="4"/>
  <c r="M17" i="4"/>
  <c r="N14" i="4"/>
  <c r="M14" i="4"/>
  <c r="N13" i="4"/>
  <c r="M13" i="4"/>
  <c r="N12" i="4"/>
  <c r="M12" i="4"/>
  <c r="N11" i="4"/>
  <c r="M11" i="4"/>
  <c r="N10" i="4"/>
  <c r="M10" i="4"/>
  <c r="N9" i="4"/>
  <c r="M9" i="4"/>
  <c r="N8" i="4"/>
  <c r="M8" i="4"/>
  <c r="N7" i="4"/>
  <c r="M7" i="4"/>
  <c r="N6" i="4"/>
  <c r="M6" i="4"/>
</calcChain>
</file>

<file path=xl/sharedStrings.xml><?xml version="1.0" encoding="utf-8"?>
<sst xmlns="http://schemas.openxmlformats.org/spreadsheetml/2006/main" count="705" uniqueCount="281">
  <si>
    <t>RECENT CHANGES</t>
  </si>
  <si>
    <t>RETS Codes</t>
  </si>
  <si>
    <t>Loc Cd</t>
  </si>
  <si>
    <t>City</t>
  </si>
  <si>
    <t>State</t>
  </si>
  <si>
    <t>Location (put city name FIRST)</t>
  </si>
  <si>
    <t>USE</t>
  </si>
  <si>
    <t>UPDATED RSF</t>
  </si>
  <si>
    <t>UPDATED LED</t>
  </si>
  <si>
    <t>RSF Chng</t>
  </si>
  <si>
    <t>Days Chng</t>
  </si>
  <si>
    <t>BENGALURU, KARNATAKA:</t>
  </si>
  <si>
    <t>BLR</t>
  </si>
  <si>
    <t>Bengaluru</t>
  </si>
  <si>
    <t>Karnataka</t>
  </si>
  <si>
    <t>PEB Technopolis DIVYASREE</t>
  </si>
  <si>
    <t>Practice Office</t>
  </si>
  <si>
    <t>GURGAON, HARYANA:</t>
  </si>
  <si>
    <t>GUR</t>
  </si>
  <si>
    <t>Gurgaon</t>
  </si>
  <si>
    <t>Haryana</t>
  </si>
  <si>
    <t>i-Park, Plot No. 15, Phase IV (GURGAON (DELHI) AERS 5TH FLOOR)</t>
  </si>
  <si>
    <t>i-Park, Plot No. 15, Phase IV (GURGAON (DELHI) DCIPL 6TH FLOOR)</t>
  </si>
  <si>
    <t>i-Park, Plot No. 15, Phase IV (GURGAON (DELHI) - TSIPL GROUND FLOOR)</t>
  </si>
  <si>
    <t>GRG-PRA-009</t>
  </si>
  <si>
    <t>i-Park, Plot No. 15, Phase IV (GURGAON (DELHI) DCIPL 1ST FLOOR)</t>
  </si>
  <si>
    <t>GRG-PRA-010</t>
  </si>
  <si>
    <t>i-Park, Plot No. 15, Phase IV (GURGAON (DELHI) AERS 5TH FLOOR LOI)</t>
  </si>
  <si>
    <t>GRG-PRA-011</t>
  </si>
  <si>
    <t>i-Park, Plot No. 15, Phase IV (GURGAON (DELHI) DCIPL 4TH FLOOR)</t>
  </si>
  <si>
    <t>HYDERABAD, AP:</t>
  </si>
  <si>
    <t>AP = Andhra Pradesh</t>
  </si>
  <si>
    <t>Hyderabad</t>
  </si>
  <si>
    <t>AP</t>
  </si>
  <si>
    <t>HYC</t>
  </si>
  <si>
    <t>RMZ Futura Block C, Plot #14 &amp; 15, Road #2, Hitec</t>
  </si>
  <si>
    <t>HYD</t>
  </si>
  <si>
    <t>L&amp;T Block D, Plot No. 13, Hitec City Layout</t>
  </si>
  <si>
    <t>HYF</t>
  </si>
  <si>
    <t>Mindspace Cyberabad Project Hi-Tech City</t>
  </si>
  <si>
    <t>HYG-PRA-001</t>
  </si>
  <si>
    <t>HYG</t>
  </si>
  <si>
    <t>Meenakshi Tech Park Survey No. 39 of Gachibowli</t>
  </si>
  <si>
    <t>HYG-PRA-002</t>
  </si>
  <si>
    <t>HYG-PRA-003</t>
  </si>
  <si>
    <t>HYG-PRA-004</t>
  </si>
  <si>
    <t>HYG-PRA-005</t>
  </si>
  <si>
    <t>HYI-PRA-001</t>
  </si>
  <si>
    <t>HYI</t>
  </si>
  <si>
    <t>HYH-PRA-001</t>
  </si>
  <si>
    <t>HYH</t>
  </si>
  <si>
    <t>HYH-PRA-002</t>
  </si>
  <si>
    <t>HYK</t>
  </si>
  <si>
    <t>Divyasree Omega Campus</t>
  </si>
  <si>
    <t>HYL-PRA-001</t>
  </si>
  <si>
    <t>HYL</t>
  </si>
  <si>
    <t>Trinity Building, Phase 4, Hi-Tech City</t>
  </si>
  <si>
    <t>HYL-PRA-002</t>
  </si>
  <si>
    <t>HYL-PRA-003</t>
  </si>
  <si>
    <t>HYL-PRA-004</t>
  </si>
  <si>
    <t>MUMBAI, MAHARASTRA:</t>
  </si>
  <si>
    <t>MBE</t>
  </si>
  <si>
    <t>Mumbai</t>
  </si>
  <si>
    <t>Maharastra</t>
  </si>
  <si>
    <t>Fairmont, Level 2, Hiranandini Business Pk, Powai</t>
  </si>
  <si>
    <t>HYJ-PRA-001</t>
  </si>
  <si>
    <t>HYJ</t>
  </si>
  <si>
    <t>India Locations Lease End Date Schedule</t>
  </si>
  <si>
    <t>COMMENTS</t>
  </si>
  <si>
    <t>GRG-PRA-013</t>
  </si>
  <si>
    <t>GRG-PRA-012</t>
  </si>
  <si>
    <t>HYI-PRA-004</t>
  </si>
  <si>
    <t>HYI-PRA-003</t>
  </si>
  <si>
    <t>HYI-PRA-002</t>
  </si>
  <si>
    <t>BNG-PRA-007</t>
  </si>
  <si>
    <t>DivyaSree Technopolis,  
Block C2 Building</t>
  </si>
  <si>
    <t>HYC-PRA-009</t>
  </si>
  <si>
    <t>HYF-PRA-003</t>
  </si>
  <si>
    <t>HYF-PRA-004</t>
  </si>
  <si>
    <t>HYI-PRA-005</t>
  </si>
  <si>
    <t>BLC</t>
  </si>
  <si>
    <t>HYL-PRA-005</t>
  </si>
  <si>
    <t>HYM-PRA-001</t>
  </si>
  <si>
    <t>HYM</t>
  </si>
  <si>
    <t>Blocks D1 &amp; D2 DivyaSree Technopolis (BENGALURU (BANGALORE) - TOWER 1 - D1 (BLOCK C1))</t>
  </si>
  <si>
    <t>MUM-PRA-009</t>
  </si>
  <si>
    <t xml:space="preserve">GRG-PRA-021 </t>
  </si>
  <si>
    <t>Gurugram</t>
  </si>
  <si>
    <t>GURGAON – APEEJAY BUSINESS CENTRE</t>
  </si>
  <si>
    <t>GUC</t>
  </si>
  <si>
    <t>GRG-PRA-022</t>
  </si>
  <si>
    <t>MUM-PRA-011</t>
  </si>
  <si>
    <t>BNG-PRA-012</t>
  </si>
  <si>
    <t>MBW</t>
  </si>
  <si>
    <t>C1 - GROUND TO SIXTH FLOOR</t>
  </si>
  <si>
    <t>BLOCK A - 7TH FLOOR (THOMPSON RET SPACE)</t>
  </si>
  <si>
    <t>BNG-PRA-015</t>
  </si>
  <si>
    <t>BLS</t>
  </si>
  <si>
    <t>BENGALURU – SOFTZONE</t>
  </si>
  <si>
    <t>BENGALURU BLOCK 7 - 77 TOWN CENTRE</t>
  </si>
  <si>
    <t xml:space="preserve">BNG-PRA-013 </t>
  </si>
  <si>
    <t>NOT AVAILABLE IN RETS DOWNLOAD</t>
  </si>
  <si>
    <t xml:space="preserve">MUM-PRA-014 </t>
  </si>
  <si>
    <t>MUM-PRA-015</t>
  </si>
  <si>
    <t>MUM-PRA-016</t>
  </si>
  <si>
    <t>BNG-PRA-014</t>
  </si>
  <si>
    <t>GRG-PRA-023</t>
  </si>
  <si>
    <t>HYD-PRA-005</t>
  </si>
  <si>
    <t>PA- As per email confirmation from Srini dt 8th June- 8th &amp; 11th Floors ( includind DU) will be terminated on 31st August</t>
  </si>
  <si>
    <t>GRG-PRA-024</t>
  </si>
  <si>
    <t>HYA</t>
  </si>
  <si>
    <t>HYB</t>
  </si>
  <si>
    <t>HYN</t>
  </si>
  <si>
    <t>HYA-PRA-013</t>
  </si>
  <si>
    <t>RMZ Futura Block A, Plot #14 &amp; 15, Road #2, Hitec</t>
  </si>
  <si>
    <t>HYB-PRA-004</t>
  </si>
  <si>
    <t>RMZ Futura Block B, Plot #14 &amp; 15, Road #2, Hitec</t>
  </si>
  <si>
    <t>HYN-PRA-001</t>
  </si>
  <si>
    <t>Hyderabad_Block N_The Sarvotham Building</t>
  </si>
  <si>
    <t>HYF-PRA-005</t>
  </si>
  <si>
    <t>Mindspace Cyberabad Project Hi-Tech City--6th floor</t>
  </si>
  <si>
    <t>Termination completed leases</t>
  </si>
  <si>
    <t>1)</t>
  </si>
  <si>
    <t>2)</t>
  </si>
  <si>
    <t>3)</t>
  </si>
  <si>
    <t>4)</t>
  </si>
  <si>
    <t>5)</t>
  </si>
  <si>
    <t>6)</t>
  </si>
  <si>
    <t>LED changed to 09/30/2020 from 04/30/2021 as per mail confirmation from real estate team dated : 07/09/2020</t>
  </si>
  <si>
    <t>7)</t>
  </si>
  <si>
    <t>8)</t>
  </si>
  <si>
    <t>HYG-PRA-006</t>
  </si>
  <si>
    <t>MUM-PRA-012</t>
  </si>
  <si>
    <t>BNG-PRA-016</t>
  </si>
  <si>
    <t>BLV</t>
  </si>
  <si>
    <t>2nd Floor</t>
  </si>
  <si>
    <t>4th Floor</t>
  </si>
  <si>
    <t>5th Floor</t>
  </si>
  <si>
    <t>1st floor</t>
  </si>
  <si>
    <t>3rd Floor</t>
  </si>
  <si>
    <t>Grnd to 8 Floor</t>
  </si>
  <si>
    <t>Grnd to 6 Floor</t>
  </si>
  <si>
    <t>7 to 12 Floor</t>
  </si>
  <si>
    <t>All floors</t>
  </si>
  <si>
    <t>C1</t>
  </si>
  <si>
    <t>C2</t>
  </si>
  <si>
    <t>7th Floor</t>
  </si>
  <si>
    <t>All Floors</t>
  </si>
  <si>
    <t>9)</t>
  </si>
  <si>
    <t>Per email communication from RETS dated 7/9/2021 - HYG location will be terminated as on 9/30/2021</t>
  </si>
  <si>
    <t>10)</t>
  </si>
  <si>
    <t>BENGALURU HUSTLEHUB // HasheDin</t>
  </si>
  <si>
    <t>Survey No. 41 Opp Meenakshi Techpark, Gachibowli</t>
  </si>
  <si>
    <t>Sy.No.23/Part, Gachibowli Village, Serilingampally;</t>
  </si>
  <si>
    <t>BANGALORE BANNERGHATTA ROAD</t>
  </si>
  <si>
    <t>BNG-PRA-017</t>
  </si>
  <si>
    <t>BNG-PRA-018</t>
  </si>
  <si>
    <t>BANGALORE LAVELLE ROAD</t>
  </si>
  <si>
    <t>Bannerghatta Road
J P Nagar</t>
  </si>
  <si>
    <t>No. 80 Hulkul Ascent
Lavelle Road</t>
  </si>
  <si>
    <t>CHENNAI:</t>
  </si>
  <si>
    <t>CHENNAI IT HUB</t>
  </si>
  <si>
    <t>CHENNAI SUNNYSIDE</t>
  </si>
  <si>
    <t>CHE-PRA-002</t>
  </si>
  <si>
    <t>Citi Centre, Level 6,10/11 Dr.Radhakrisha,Mylapore</t>
  </si>
  <si>
    <t xml:space="preserve">NO. 8/17, Sunnyside
Shafee Mohammed Road
</t>
  </si>
  <si>
    <t>PUNE:</t>
  </si>
  <si>
    <t>Chennai</t>
  </si>
  <si>
    <t>Tamil Nadu</t>
  </si>
  <si>
    <t>PUNE IT HUB</t>
  </si>
  <si>
    <t>Pune</t>
  </si>
  <si>
    <t>Sky Vista, Ground Floor, Next to Eminence IT Park</t>
  </si>
  <si>
    <t>CHN</t>
  </si>
  <si>
    <t>PUN</t>
  </si>
  <si>
    <t>BNG-PRA-019</t>
  </si>
  <si>
    <t>6th Floor</t>
  </si>
  <si>
    <t>6th Floor Bilekahalli Village Begur Hobli</t>
  </si>
  <si>
    <t>New Location</t>
  </si>
  <si>
    <t>BENGALURU – SOFTZONE ; Sy.No80/1,81/1 &amp; 81/2,Bellandu</t>
  </si>
  <si>
    <t>BENGALURU – THOMSON REUTERS ; Block A 77 Town Center</t>
  </si>
  <si>
    <t>#36/6, Somasandra Palya, Sector 2 HSR Layout</t>
  </si>
  <si>
    <t>GURGAON INFINITY - i-Park, Plot No. 15, Phase IV</t>
  </si>
  <si>
    <t>HYDERABAD BLOCK I - AERS</t>
  </si>
  <si>
    <t>HYDERABAD BLOCK I - DCIPL</t>
  </si>
  <si>
    <t>HYDERABAD BLOCK I - DFASIPL</t>
  </si>
  <si>
    <t>HYDERABAD BLOCK I - DSSIPL</t>
  </si>
  <si>
    <t>HYDERABAD BLOCK I - DTSIPL</t>
  </si>
  <si>
    <t>HYDERABAD BLOCK J</t>
  </si>
  <si>
    <t>Survey No.41, Opp Meenakshi Techpark, Gachibowli</t>
  </si>
  <si>
    <t>HYDERABAD BLOCK M</t>
  </si>
  <si>
    <t>KOLKATA:</t>
  </si>
  <si>
    <t>KOLKATA IT HUB</t>
  </si>
  <si>
    <t>Kolkata</t>
  </si>
  <si>
    <t>West Bengal</t>
  </si>
  <si>
    <t>Abanindra Nath Thakur Sarani</t>
  </si>
  <si>
    <t>MUMBAI 2ND FLR DCIPL</t>
  </si>
  <si>
    <t>MUMBAI 4TH FLR DCIPL</t>
  </si>
  <si>
    <t>MUMBAI 5TH FLR DFAS</t>
  </si>
  <si>
    <t>MUMBAI 5TH FLR DSSIPL</t>
  </si>
  <si>
    <t>MUMBAI DSSIPL 1ST FLOOR</t>
  </si>
  <si>
    <t>MUMBAI NOMURA BUILDING</t>
  </si>
  <si>
    <t>MUMBAI  NOMURA BUILDING ; Nomura Building, South Avenue, Hiranandani Gardens</t>
  </si>
  <si>
    <t>BNG-PRA-020</t>
  </si>
  <si>
    <t>BENGALURU BLOCK C2</t>
  </si>
  <si>
    <t>VIZ-HUB-001</t>
  </si>
  <si>
    <t>VIZAT IT HUB</t>
  </si>
  <si>
    <t>Plot No. 49, Survey No 1051
Waltair Main Road</t>
  </si>
  <si>
    <t>Vizag</t>
  </si>
  <si>
    <t xml:space="preserve">KOL-HUB-001 </t>
  </si>
  <si>
    <t>MUM-PRA-017</t>
  </si>
  <si>
    <t xml:space="preserve">MUMBAI DTSIPL 5TH FLOOR </t>
  </si>
  <si>
    <t xml:space="preserve">PUN-HUB-001 </t>
  </si>
  <si>
    <t xml:space="preserve">CHE-HUB-001 </t>
  </si>
  <si>
    <t>GURGAON AMBIENCE TOWER</t>
  </si>
  <si>
    <t>GURGAON INFINITY</t>
  </si>
  <si>
    <t>AMBIENCE CORPORATE TOWERS II,Ambience Island,NH-8</t>
  </si>
  <si>
    <t>HYK-PRA-003</t>
  </si>
  <si>
    <t>MUM-PRA-018</t>
  </si>
  <si>
    <t xml:space="preserve">MUMBAI AERS 5TH FLOOR </t>
  </si>
  <si>
    <t>INDORE:</t>
  </si>
  <si>
    <t>IND-HUB-001</t>
  </si>
  <si>
    <t>INDORE IT HUB</t>
  </si>
  <si>
    <t xml:space="preserve">Level 6, Brilliant Solitaire
Vijay Nagar
</t>
  </si>
  <si>
    <t>Indore</t>
  </si>
  <si>
    <t>Madhya Pradesh</t>
  </si>
  <si>
    <t>KOC-HUB-001</t>
  </si>
  <si>
    <t>Kochi IT Hub</t>
  </si>
  <si>
    <t>34/195 Oberon Mall 
 Padivattom Edappally</t>
  </si>
  <si>
    <t>Kochi</t>
  </si>
  <si>
    <t>Kerala</t>
  </si>
  <si>
    <t>LKN-HUB-001</t>
  </si>
  <si>
    <t xml:space="preserve">LUCKNOW IT HUB </t>
  </si>
  <si>
    <t>Levana Cyber Heights 
Gomti Nagar</t>
  </si>
  <si>
    <t>Lucknow</t>
  </si>
  <si>
    <t>Uttar Pradesh</t>
  </si>
  <si>
    <t>LUCKNOW:</t>
  </si>
  <si>
    <t>1st Floor</t>
  </si>
  <si>
    <t xml:space="preserve">HYD-PRA-006 </t>
  </si>
  <si>
    <t>iSprout Business Centre</t>
  </si>
  <si>
    <t>11)</t>
  </si>
  <si>
    <t>KOL</t>
  </si>
  <si>
    <t>INR</t>
  </si>
  <si>
    <t>ERNA</t>
  </si>
  <si>
    <t>LUC</t>
  </si>
  <si>
    <t>CHENNAI CREST TEMPORARY</t>
  </si>
  <si>
    <t>CHE-PRA-003</t>
  </si>
  <si>
    <t>Crest building, International Tech Park, Taramani</t>
  </si>
  <si>
    <t>PUNE KHARADI TEMPORARY</t>
  </si>
  <si>
    <t>PUN-PRA-001</t>
  </si>
  <si>
    <t>Block 1 International Tech Park Grant Road Kharadi</t>
  </si>
  <si>
    <t>KOLKATA TECHNOPOLIS TEMPORARY</t>
  </si>
  <si>
    <t>KOL-PRA-001</t>
  </si>
  <si>
    <t xml:space="preserve">Technopolis Building
Plot No.BP4, Sector – V 
</t>
  </si>
  <si>
    <t>As per email communication from RETS dated 8/17/2022 - iSprout Business Center will be terminated as on 4/30/2022</t>
  </si>
  <si>
    <t>GUA</t>
  </si>
  <si>
    <t>Terminated as of 25th October 2022 as per e-mail communication from Srinivas Govind Rao</t>
  </si>
  <si>
    <t>Terminated as of 15th November 2022 as per e-mail communication from Srinivas Govind Rao</t>
  </si>
  <si>
    <t>Terminated as of 9th November 2022 as per e-mail communication from Srinivas Govind Rao</t>
  </si>
  <si>
    <t>x</t>
  </si>
  <si>
    <t>PD08</t>
  </si>
  <si>
    <t xml:space="preserve">Terminated as of 31st December 2022 as per e-mail communication from Srinivas Govind Rao
</t>
  </si>
  <si>
    <t xml:space="preserve">BNG-PRA-021 </t>
  </si>
  <si>
    <t>BENGALURU – SATTVA AURA</t>
  </si>
  <si>
    <t>Survey Nos.15/2 and 14,Varthur Hobli</t>
  </si>
  <si>
    <t>01/03/2023 - As per Srinivas Govind's email Lease End Date is 4th September 2025</t>
  </si>
  <si>
    <t>01/03/2023 - As per Srinivas Govind's email Lease End Date is extended upto 31st May 2023</t>
  </si>
  <si>
    <t>VD-1/9/2023</t>
  </si>
  <si>
    <t>MUM-PRA-013</t>
  </si>
  <si>
    <t>ALEXANDRIA:</t>
  </si>
  <si>
    <t>ALEXANDRIA METROPARK</t>
  </si>
  <si>
    <t>ALX-PRO-002</t>
  </si>
  <si>
    <t>Alexandria</t>
  </si>
  <si>
    <t xml:space="preserve">Virginia </t>
  </si>
  <si>
    <t>6363 Walker Lane</t>
  </si>
  <si>
    <t>AUSTIN - PUBLIC PRACTICE</t>
  </si>
  <si>
    <t>AUS-PRO-002</t>
  </si>
  <si>
    <t>1609 Centre Creek Drive</t>
  </si>
  <si>
    <t>Area for location changed</t>
  </si>
  <si>
    <t>PREVIOUS RSF</t>
  </si>
  <si>
    <t>PREVIOUS LED</t>
  </si>
  <si>
    <t>Check with RETS team as LED is 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</si>
</sst>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[$-409]mm/dd/yyyy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FF00"/>
      <name val="Calibri"/>
      <family val="2"/>
      <scheme val="minor"/>
    </font>
    <font>
      <sz val="8"/>
      <name val="Arial"/>
      <family val="2"/>
    </font>
    <font>
      <sz val="9"/>
      <name val="Arial"/>
      <family val="2"/>
    </font>
    <font>
      <b/>
      <sz val="7"/>
      <color rgb="FFC00000"/>
      <name val="Calibri"/>
      <family val="2"/>
      <scheme val="minor"/>
    </font>
    <font>
      <b/>
      <sz val="8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12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rgb="FF003300"/>
      <name val="Calibri"/>
      <family val="2"/>
      <scheme val="minor"/>
    </font>
    <font>
      <b/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</cellStyleXfs>
  <cellXfs count="137">
    <xf numFmtId="0" fontId="0" fillId="0" borderId="0" xfId="0"/>
    <xf numFmtId="0" fontId="7" fillId="0" borderId="0" xfId="3" applyFont="1" applyFill="1" applyBorder="1" applyAlignment="1"/>
    <xf numFmtId="0" fontId="7" fillId="0" borderId="0" xfId="3" applyFont="1" applyFill="1" applyBorder="1" applyAlignment="1">
      <alignment wrapText="1"/>
    </xf>
    <xf numFmtId="0" fontId="6" fillId="0" borderId="0" xfId="3" applyFont="1" applyFill="1" applyBorder="1" applyAlignment="1"/>
    <xf numFmtId="0" fontId="2" fillId="0" borderId="0" xfId="3" applyFill="1" applyBorder="1" applyAlignment="1"/>
    <xf numFmtId="43" fontId="2" fillId="0" borderId="0" xfId="1" applyFont="1" applyFill="1" applyBorder="1" applyAlignment="1"/>
    <xf numFmtId="0" fontId="13" fillId="0" borderId="0" xfId="3" applyFont="1"/>
    <xf numFmtId="0" fontId="15" fillId="4" borderId="15" xfId="3" applyFont="1" applyFill="1" applyBorder="1" applyAlignment="1">
      <alignment horizontal="center" vertical="top" wrapText="1"/>
    </xf>
    <xf numFmtId="0" fontId="15" fillId="4" borderId="15" xfId="0" applyFont="1" applyFill="1" applyBorder="1" applyAlignment="1">
      <alignment horizontal="center" vertical="top" wrapText="1"/>
    </xf>
    <xf numFmtId="164" fontId="15" fillId="4" borderId="15" xfId="1" applyNumberFormat="1" applyFont="1" applyFill="1" applyBorder="1" applyAlignment="1">
      <alignment horizontal="center" vertical="top" wrapText="1"/>
    </xf>
    <xf numFmtId="14" fontId="15" fillId="4" borderId="15" xfId="0" applyNumberFormat="1" applyFont="1" applyFill="1" applyBorder="1" applyAlignment="1">
      <alignment horizontal="center" vertical="top" wrapText="1"/>
    </xf>
    <xf numFmtId="14" fontId="14" fillId="0" borderId="15" xfId="3" applyNumberFormat="1" applyFont="1" applyFill="1" applyBorder="1" applyAlignment="1">
      <alignment wrapText="1"/>
    </xf>
    <xf numFmtId="0" fontId="13" fillId="0" borderId="15" xfId="3" applyFont="1" applyFill="1" applyBorder="1" applyAlignment="1"/>
    <xf numFmtId="0" fontId="13" fillId="0" borderId="15" xfId="3" applyFont="1" applyFill="1" applyBorder="1" applyAlignment="1">
      <alignment wrapText="1"/>
    </xf>
    <xf numFmtId="43" fontId="13" fillId="0" borderId="15" xfId="1" applyFont="1" applyFill="1" applyBorder="1" applyAlignment="1"/>
    <xf numFmtId="0" fontId="13" fillId="0" borderId="15" xfId="3" applyFont="1" applyBorder="1"/>
    <xf numFmtId="4" fontId="13" fillId="0" borderId="15" xfId="3" applyNumberFormat="1" applyFont="1" applyBorder="1"/>
    <xf numFmtId="14" fontId="13" fillId="0" borderId="15" xfId="3" applyNumberFormat="1" applyFont="1" applyFill="1" applyBorder="1" applyAlignment="1">
      <alignment wrapText="1"/>
    </xf>
    <xf numFmtId="0" fontId="13" fillId="0" borderId="0" xfId="3" applyFont="1" applyAlignment="1">
      <alignment wrapText="1"/>
    </xf>
    <xf numFmtId="0" fontId="13" fillId="0" borderId="0" xfId="3" applyFont="1" applyAlignment="1">
      <alignment vertical="top"/>
    </xf>
    <xf numFmtId="0" fontId="13" fillId="0" borderId="16" xfId="3" applyFont="1" applyBorder="1"/>
    <xf numFmtId="0" fontId="13" fillId="0" borderId="17" xfId="3" applyFont="1" applyBorder="1"/>
    <xf numFmtId="43" fontId="13" fillId="0" borderId="17" xfId="1" applyFont="1" applyBorder="1"/>
    <xf numFmtId="14" fontId="13" fillId="0" borderId="18" xfId="3" applyNumberFormat="1" applyFont="1" applyBorder="1"/>
    <xf numFmtId="0" fontId="13" fillId="0" borderId="19" xfId="3" applyFont="1" applyBorder="1"/>
    <xf numFmtId="0" fontId="13" fillId="0" borderId="20" xfId="3" applyFont="1" applyBorder="1"/>
    <xf numFmtId="43" fontId="13" fillId="0" borderId="20" xfId="1" applyFont="1" applyBorder="1"/>
    <xf numFmtId="14" fontId="13" fillId="0" borderId="21" xfId="3" applyNumberFormat="1" applyFont="1" applyBorder="1"/>
    <xf numFmtId="0" fontId="15" fillId="4" borderId="12" xfId="3" applyFont="1" applyFill="1" applyBorder="1" applyAlignment="1">
      <alignment horizontal="center" vertical="top" wrapText="1"/>
    </xf>
    <xf numFmtId="0" fontId="15" fillId="4" borderId="13" xfId="0" applyFont="1" applyFill="1" applyBorder="1" applyAlignment="1">
      <alignment horizontal="center" vertical="top" wrapText="1"/>
    </xf>
    <xf numFmtId="164" fontId="15" fillId="4" borderId="13" xfId="1" applyNumberFormat="1" applyFont="1" applyFill="1" applyBorder="1" applyAlignment="1">
      <alignment horizontal="center" vertical="top" wrapText="1"/>
    </xf>
    <xf numFmtId="14" fontId="15" fillId="4" borderId="14" xfId="0" applyNumberFormat="1" applyFont="1" applyFill="1" applyBorder="1" applyAlignment="1">
      <alignment horizontal="center" vertical="top" wrapText="1"/>
    </xf>
    <xf numFmtId="3" fontId="13" fillId="0" borderId="0" xfId="3" applyNumberFormat="1" applyFont="1"/>
    <xf numFmtId="0" fontId="13" fillId="0" borderId="0" xfId="3" applyFont="1" applyAlignment="1">
      <alignment horizontal="right"/>
    </xf>
    <xf numFmtId="0" fontId="13" fillId="0" borderId="0" xfId="3" applyFont="1" applyAlignment="1">
      <alignment horizontal="center"/>
    </xf>
    <xf numFmtId="0" fontId="13" fillId="0" borderId="7" xfId="3" applyFont="1" applyBorder="1" applyAlignment="1">
      <alignment horizontal="center"/>
    </xf>
    <xf numFmtId="0" fontId="13" fillId="0" borderId="4" xfId="3" applyFont="1" applyBorder="1" applyAlignment="1">
      <alignment horizontal="center"/>
    </xf>
    <xf numFmtId="3" fontId="13" fillId="0" borderId="0" xfId="1" applyNumberFormat="1" applyFont="1" applyFill="1" applyBorder="1" applyAlignment="1">
      <alignment horizontal="right"/>
    </xf>
    <xf numFmtId="0" fontId="8" fillId="3" borderId="12" xfId="2" applyFont="1" applyFill="1" applyBorder="1" applyAlignment="1">
      <alignment horizontal="center" vertical="top" wrapText="1"/>
    </xf>
    <xf numFmtId="0" fontId="4" fillId="3" borderId="13" xfId="3" applyFont="1" applyFill="1" applyBorder="1" applyAlignment="1">
      <alignment horizontal="center" vertical="top" wrapText="1"/>
    </xf>
    <xf numFmtId="0" fontId="12" fillId="3" borderId="13" xfId="0" applyFont="1" applyFill="1" applyBorder="1" applyAlignment="1">
      <alignment horizontal="center" vertical="top" wrapText="1"/>
    </xf>
    <xf numFmtId="0" fontId="10" fillId="3" borderId="13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5" fillId="2" borderId="13" xfId="0" applyFont="1" applyFill="1" applyBorder="1" applyAlignment="1">
      <alignment horizontal="center" vertical="top" wrapText="1"/>
    </xf>
    <xf numFmtId="0" fontId="13" fillId="0" borderId="10" xfId="3" applyFont="1" applyBorder="1" applyAlignment="1">
      <alignment horizontal="center"/>
    </xf>
    <xf numFmtId="0" fontId="13" fillId="0" borderId="8" xfId="3" applyFont="1" applyBorder="1" applyAlignment="1">
      <alignment horizontal="left" wrapText="1"/>
    </xf>
    <xf numFmtId="0" fontId="13" fillId="0" borderId="5" xfId="3" applyFont="1" applyBorder="1" applyAlignment="1">
      <alignment horizontal="left" wrapText="1"/>
    </xf>
    <xf numFmtId="0" fontId="13" fillId="0" borderId="11" xfId="3" applyFont="1" applyBorder="1" applyAlignment="1">
      <alignment horizontal="left" wrapText="1"/>
    </xf>
    <xf numFmtId="0" fontId="13" fillId="0" borderId="2" xfId="3" applyFont="1" applyBorder="1" applyAlignment="1">
      <alignment horizontal="left" wrapText="1"/>
    </xf>
    <xf numFmtId="3" fontId="13" fillId="0" borderId="0" xfId="1" applyNumberFormat="1" applyFont="1" applyAlignment="1"/>
    <xf numFmtId="0" fontId="21" fillId="0" borderId="0" xfId="0" applyFont="1"/>
    <xf numFmtId="0" fontId="13" fillId="0" borderId="4" xfId="3" applyFont="1" applyBorder="1" applyAlignment="1">
      <alignment wrapText="1"/>
    </xf>
    <xf numFmtId="0" fontId="11" fillId="0" borderId="1" xfId="0" applyFont="1" applyBorder="1"/>
    <xf numFmtId="0" fontId="21" fillId="0" borderId="0" xfId="0" applyFont="1" applyAlignment="1">
      <alignment horizontal="center"/>
    </xf>
    <xf numFmtId="0" fontId="21" fillId="0" borderId="1" xfId="0" applyFont="1" applyBorder="1"/>
    <xf numFmtId="0" fontId="21" fillId="0" borderId="6" xfId="0" applyFont="1" applyBorder="1"/>
    <xf numFmtId="0" fontId="21" fillId="0" borderId="7" xfId="0" applyFont="1" applyBorder="1"/>
    <xf numFmtId="0" fontId="21" fillId="0" borderId="7" xfId="0" applyFont="1" applyBorder="1" applyAlignment="1">
      <alignment horizontal="center"/>
    </xf>
    <xf numFmtId="14" fontId="13" fillId="0" borderId="0" xfId="3" applyNumberFormat="1" applyFont="1" applyAlignment="1">
      <alignment horizontal="left"/>
    </xf>
    <xf numFmtId="14" fontId="13" fillId="0" borderId="0" xfId="3" applyNumberFormat="1" applyFont="1" applyAlignment="1">
      <alignment horizontal="center" wrapText="1"/>
    </xf>
    <xf numFmtId="0" fontId="13" fillId="0" borderId="7" xfId="3" applyFont="1" applyBorder="1"/>
    <xf numFmtId="0" fontId="13" fillId="0" borderId="10" xfId="3" applyFont="1" applyBorder="1"/>
    <xf numFmtId="14" fontId="13" fillId="0" borderId="0" xfId="3" applyNumberFormat="1" applyFont="1"/>
    <xf numFmtId="0" fontId="16" fillId="0" borderId="0" xfId="3" applyFont="1"/>
    <xf numFmtId="0" fontId="3" fillId="0" borderId="0" xfId="3" applyFont="1"/>
    <xf numFmtId="0" fontId="4" fillId="0" borderId="0" xfId="3" applyFont="1"/>
    <xf numFmtId="0" fontId="17" fillId="0" borderId="0" xfId="3" applyFont="1"/>
    <xf numFmtId="0" fontId="23" fillId="0" borderId="0" xfId="3" applyFont="1"/>
    <xf numFmtId="0" fontId="9" fillId="0" borderId="14" xfId="0" applyFont="1" applyBorder="1" applyAlignment="1">
      <alignment horizontal="center" vertical="top" wrapText="1"/>
    </xf>
    <xf numFmtId="0" fontId="13" fillId="0" borderId="6" xfId="3" applyFont="1" applyBorder="1"/>
    <xf numFmtId="0" fontId="17" fillId="0" borderId="7" xfId="3" applyFont="1" applyBorder="1"/>
    <xf numFmtId="0" fontId="18" fillId="0" borderId="3" xfId="3" applyFont="1" applyBorder="1"/>
    <xf numFmtId="0" fontId="13" fillId="0" borderId="4" xfId="3" applyFont="1" applyBorder="1"/>
    <xf numFmtId="3" fontId="13" fillId="0" borderId="4" xfId="3" applyNumberFormat="1" applyFont="1" applyBorder="1"/>
    <xf numFmtId="0" fontId="13" fillId="0" borderId="1" xfId="3" applyFont="1" applyBorder="1"/>
    <xf numFmtId="0" fontId="15" fillId="0" borderId="0" xfId="3" applyFont="1"/>
    <xf numFmtId="0" fontId="13" fillId="0" borderId="9" xfId="3" applyFont="1" applyBorder="1"/>
    <xf numFmtId="0" fontId="18" fillId="0" borderId="1" xfId="3" applyFont="1" applyBorder="1"/>
    <xf numFmtId="0" fontId="13" fillId="0" borderId="2" xfId="3" applyFont="1" applyBorder="1" applyAlignment="1">
      <alignment horizontal="left" vertical="center" wrapText="1"/>
    </xf>
    <xf numFmtId="0" fontId="18" fillId="0" borderId="9" xfId="3" applyFont="1" applyBorder="1"/>
    <xf numFmtId="0" fontId="19" fillId="0" borderId="10" xfId="3" applyFont="1" applyBorder="1" applyAlignment="1">
      <alignment horizontal="center"/>
    </xf>
    <xf numFmtId="0" fontId="13" fillId="0" borderId="10" xfId="3" applyFont="1" applyBorder="1" applyAlignment="1">
      <alignment wrapText="1"/>
    </xf>
    <xf numFmtId="3" fontId="13" fillId="0" borderId="10" xfId="3" applyNumberFormat="1" applyFont="1" applyBorder="1"/>
    <xf numFmtId="0" fontId="19" fillId="0" borderId="0" xfId="3" applyFont="1" applyAlignment="1">
      <alignment horizontal="center"/>
    </xf>
    <xf numFmtId="0" fontId="11" fillId="0" borderId="0" xfId="0" applyFont="1" applyAlignment="1">
      <alignment wrapText="1"/>
    </xf>
    <xf numFmtId="0" fontId="13" fillId="0" borderId="1" xfId="0" applyFont="1" applyBorder="1"/>
    <xf numFmtId="0" fontId="13" fillId="0" borderId="0" xfId="0" applyFont="1" applyAlignment="1">
      <alignment wrapText="1"/>
    </xf>
    <xf numFmtId="0" fontId="11" fillId="0" borderId="0" xfId="0" applyFont="1"/>
    <xf numFmtId="14" fontId="13" fillId="0" borderId="2" xfId="3" applyNumberFormat="1" applyFont="1" applyBorder="1" applyAlignment="1">
      <alignment horizontal="left" wrapText="1"/>
    </xf>
    <xf numFmtId="0" fontId="13" fillId="0" borderId="23" xfId="3" applyFont="1" applyBorder="1"/>
    <xf numFmtId="0" fontId="13" fillId="0" borderId="24" xfId="3" applyFont="1" applyBorder="1"/>
    <xf numFmtId="0" fontId="13" fillId="0" borderId="24" xfId="3" applyFont="1" applyBorder="1" applyAlignment="1">
      <alignment horizontal="center"/>
    </xf>
    <xf numFmtId="0" fontId="13" fillId="0" borderId="25" xfId="3" applyFont="1" applyBorder="1"/>
    <xf numFmtId="0" fontId="13" fillId="0" borderId="13" xfId="3" applyFont="1" applyBorder="1"/>
    <xf numFmtId="0" fontId="13" fillId="0" borderId="22" xfId="3" applyFont="1" applyBorder="1" applyAlignment="1">
      <alignment horizontal="left" wrapText="1"/>
    </xf>
    <xf numFmtId="0" fontId="13" fillId="0" borderId="12" xfId="3" applyFont="1" applyBorder="1"/>
    <xf numFmtId="0" fontId="13" fillId="0" borderId="13" xfId="3" applyFont="1" applyBorder="1" applyAlignment="1">
      <alignment horizontal="center"/>
    </xf>
    <xf numFmtId="0" fontId="13" fillId="0" borderId="26" xfId="3" applyFont="1" applyBorder="1"/>
    <xf numFmtId="0" fontId="13" fillId="0" borderId="14" xfId="3" applyFont="1" applyBorder="1" applyAlignment="1">
      <alignment horizontal="left" wrapText="1"/>
    </xf>
    <xf numFmtId="0" fontId="13" fillId="0" borderId="14" xfId="3" applyFont="1" applyBorder="1"/>
    <xf numFmtId="0" fontId="18" fillId="0" borderId="27" xfId="3" applyFont="1" applyBorder="1"/>
    <xf numFmtId="0" fontId="13" fillId="0" borderId="28" xfId="3" applyFont="1" applyBorder="1"/>
    <xf numFmtId="0" fontId="20" fillId="0" borderId="0" xfId="3" applyFont="1"/>
    <xf numFmtId="0" fontId="13" fillId="0" borderId="1" xfId="3" applyFont="1" applyBorder="1" applyAlignment="1">
      <alignment horizontal="right"/>
    </xf>
    <xf numFmtId="0" fontId="13" fillId="0" borderId="0" xfId="3" applyFont="1" applyAlignment="1">
      <alignment horizontal="left" wrapText="1"/>
    </xf>
    <xf numFmtId="0" fontId="13" fillId="0" borderId="0" xfId="3" applyFont="1" applyAlignment="1"/>
    <xf numFmtId="3" fontId="22" fillId="3" borderId="13" xfId="1" applyNumberFormat="1" applyFont="1" applyFill="1" applyBorder="1" applyAlignment="1">
      <alignment horizontal="center" vertical="top" wrapText="1"/>
    </xf>
    <xf numFmtId="3" fontId="13" fillId="0" borderId="7" xfId="1" applyNumberFormat="1" applyFont="1" applyBorder="1" applyAlignment="1"/>
    <xf numFmtId="3" fontId="13" fillId="0" borderId="4" xfId="1" applyNumberFormat="1" applyFont="1" applyBorder="1" applyAlignment="1"/>
    <xf numFmtId="14" fontId="13" fillId="0" borderId="4" xfId="3" applyNumberFormat="1" applyFont="1" applyBorder="1" applyAlignment="1">
      <alignment wrapText="1"/>
    </xf>
    <xf numFmtId="3" fontId="11" fillId="0" borderId="0" xfId="0" applyNumberFormat="1" applyFont="1" applyAlignment="1">
      <alignment wrapText="1"/>
    </xf>
    <xf numFmtId="165" fontId="11" fillId="0" borderId="0" xfId="0" applyNumberFormat="1" applyFont="1" applyAlignment="1">
      <alignment wrapText="1"/>
    </xf>
    <xf numFmtId="3" fontId="13" fillId="0" borderId="10" xfId="1" applyNumberFormat="1" applyFont="1" applyBorder="1" applyAlignment="1"/>
    <xf numFmtId="3" fontId="13" fillId="0" borderId="0" xfId="1" applyNumberFormat="1" applyFont="1" applyFill="1" applyBorder="1" applyAlignment="1"/>
    <xf numFmtId="14" fontId="13" fillId="0" borderId="0" xfId="3" applyNumberFormat="1" applyFont="1" applyAlignment="1">
      <alignment wrapText="1"/>
    </xf>
    <xf numFmtId="3" fontId="13" fillId="0" borderId="10" xfId="1" applyNumberFormat="1" applyFont="1" applyFill="1" applyBorder="1" applyAlignment="1"/>
    <xf numFmtId="14" fontId="13" fillId="0" borderId="10" xfId="3" applyNumberFormat="1" applyFont="1" applyBorder="1" applyAlignment="1">
      <alignment wrapText="1"/>
    </xf>
    <xf numFmtId="4" fontId="11" fillId="0" borderId="0" xfId="0" applyNumberFormat="1" applyFont="1"/>
    <xf numFmtId="3" fontId="13" fillId="0" borderId="13" xfId="1" applyNumberFormat="1" applyFont="1" applyFill="1" applyBorder="1" applyAlignment="1"/>
    <xf numFmtId="0" fontId="13" fillId="0" borderId="13" xfId="3" applyFont="1" applyBorder="1" applyAlignment="1">
      <alignment wrapText="1"/>
    </xf>
    <xf numFmtId="3" fontId="13" fillId="0" borderId="0" xfId="1" applyNumberFormat="1" applyFont="1"/>
    <xf numFmtId="165" fontId="13" fillId="0" borderId="0" xfId="3" applyNumberFormat="1" applyFont="1"/>
    <xf numFmtId="165" fontId="21" fillId="0" borderId="0" xfId="0" applyNumberFormat="1" applyFont="1"/>
    <xf numFmtId="3" fontId="21" fillId="0" borderId="0" xfId="0" applyNumberFormat="1" applyFont="1"/>
    <xf numFmtId="0" fontId="13" fillId="0" borderId="0" xfId="3" applyFont="1" applyAlignment="1">
      <alignment horizontal="left" wrapText="1"/>
    </xf>
    <xf numFmtId="0" fontId="13" fillId="0" borderId="0" xfId="3" applyFont="1" applyAlignment="1">
      <alignment horizontal="left" vertical="center" wrapText="1"/>
    </xf>
    <xf numFmtId="0" fontId="13" fillId="0" borderId="0" xfId="3" applyFont="1" applyAlignment="1">
      <alignment horizontal="left" wrapText="1"/>
    </xf>
    <xf numFmtId="0" fontId="13" fillId="0" borderId="0" xfId="3" applyFont="1" applyAlignment="1">
      <alignment horizontal="left" wrapText="1"/>
    </xf>
    <xf numFmtId="0" fontId="13" fillId="0" borderId="0" xfId="3" applyFont="1" applyBorder="1"/>
    <xf numFmtId="0" fontId="13" fillId="0" borderId="0" xfId="3" applyFont="1" applyBorder="1" applyAlignment="1">
      <alignment horizontal="center"/>
    </xf>
    <xf numFmtId="0" fontId="13" fillId="0" borderId="0" xfId="3" applyFont="1" applyBorder="1" applyAlignment="1">
      <alignment horizontal="left" wrapText="1"/>
    </xf>
    <xf numFmtId="0" fontId="18" fillId="0" borderId="0" xfId="3" applyFont="1" applyBorder="1"/>
    <xf numFmtId="165" fontId="11" fillId="5" borderId="0" xfId="0" applyNumberFormat="1" applyFont="1" applyFill="1" applyAlignment="1">
      <alignment wrapText="1"/>
    </xf>
    <xf numFmtId="0" fontId="13" fillId="0" borderId="0" xfId="3" applyFont="1" applyBorder="1" applyAlignment="1">
      <alignment wrapText="1"/>
    </xf>
    <xf numFmtId="14" fontId="13" fillId="0" borderId="0" xfId="3" applyNumberFormat="1" applyFont="1" applyBorder="1" applyAlignment="1">
      <alignment wrapText="1"/>
    </xf>
    <xf numFmtId="0" fontId="13" fillId="0" borderId="0" xfId="3" applyFont="1" applyAlignment="1">
      <alignment horizontal="left" vertical="center" wrapText="1"/>
    </xf>
    <xf numFmtId="0" fontId="13" fillId="0" borderId="0" xfId="3" applyFont="1" applyAlignment="1">
      <alignment horizontal="left" wrapText="1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Normal_SHEET" xfId="2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FF99FF"/>
      <color rgb="FF00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0</xdr:row>
      <xdr:rowOff>38100</xdr:rowOff>
    </xdr:from>
    <xdr:to>
      <xdr:col>2</xdr:col>
      <xdr:colOff>1914525</xdr:colOff>
      <xdr:row>1</xdr:row>
      <xdr:rowOff>123825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04EB74-A756-43C5-AAC2-7A128888968B}"/>
            </a:ext>
          </a:extLst>
        </xdr:cNvPr>
        <xdr:cNvSpPr/>
      </xdr:nvSpPr>
      <xdr:spPr>
        <a:xfrm>
          <a:off x="4962525" y="38100"/>
          <a:ext cx="1057275" cy="3143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Run Macro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8B21A-B4F0-4716-9C28-C792966E424B}">
  <sheetPr codeName="Sheet1"/>
  <dimension ref="A1:P202"/>
  <sheetViews>
    <sheetView showGridLines="0"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K1" sqref="K1:L2"/>
    </sheetView>
  </sheetViews>
  <sheetFormatPr defaultColWidth="13.5546875" defaultRowHeight="13.8" x14ac:dyDescent="0.3"/>
  <cols>
    <col min="1" max="1" width="46.6640625" style="6" bestFit="1" customWidth="1"/>
    <col min="2" max="2" width="13.21875" style="6" bestFit="1" customWidth="1"/>
    <col min="3" max="3" width="29" style="6" bestFit="1" customWidth="1"/>
    <col min="4" max="4" width="5.5546875" style="6" customWidth="1"/>
    <col min="5" max="5" width="10.5546875" style="6" customWidth="1"/>
    <col min="6" max="6" width="18.44140625" style="34" customWidth="1"/>
    <col min="7" max="7" width="46.44140625" style="6" customWidth="1"/>
    <col min="8" max="8" width="29" style="6" bestFit="1" customWidth="1"/>
    <col min="9" max="9" width="12.44140625" style="49" customWidth="1"/>
    <col min="10" max="10" width="12.88671875" style="6" customWidth="1"/>
    <col min="11" max="11" width="12.44140625" style="49" customWidth="1"/>
    <col min="12" max="12" width="12.88671875" style="6" customWidth="1"/>
    <col min="13" max="13" width="8.6640625" style="6" customWidth="1"/>
    <col min="14" max="14" width="9.5546875" style="6" customWidth="1"/>
    <col min="15" max="15" width="50.6640625" style="104" customWidth="1"/>
    <col min="16" max="16" width="13.5546875" style="6"/>
    <col min="17" max="17" width="48.109375" style="6" customWidth="1"/>
    <col min="18" max="16384" width="13.5546875" style="6"/>
  </cols>
  <sheetData>
    <row r="1" spans="1:16" ht="18" x14ac:dyDescent="0.35">
      <c r="A1" s="63" t="s">
        <v>67</v>
      </c>
      <c r="B1" s="64"/>
      <c r="C1" s="65" t="s">
        <v>266</v>
      </c>
      <c r="D1" s="66"/>
      <c r="G1" s="67"/>
      <c r="I1" s="49" t="s">
        <v>259</v>
      </c>
      <c r="J1" s="49" t="s">
        <v>259</v>
      </c>
      <c r="K1" s="49" t="s">
        <v>259</v>
      </c>
      <c r="L1" s="49" t="s">
        <v>259</v>
      </c>
      <c r="M1" s="18"/>
    </row>
    <row r="2" spans="1:16" ht="14.4" thickBot="1" x14ac:dyDescent="0.35">
      <c r="B2" s="64"/>
      <c r="C2" s="64"/>
      <c r="D2" s="66"/>
      <c r="G2" s="66"/>
      <c r="H2" s="58"/>
      <c r="I2" s="59">
        <v>45084</v>
      </c>
      <c r="J2" s="59">
        <v>45084</v>
      </c>
      <c r="K2" s="59">
        <v>45044</v>
      </c>
      <c r="L2" s="59">
        <v>45044</v>
      </c>
      <c r="M2" s="59"/>
    </row>
    <row r="3" spans="1:16" s="19" customFormat="1" ht="14.4" thickBot="1" x14ac:dyDescent="0.35">
      <c r="A3" s="38" t="s">
        <v>0</v>
      </c>
      <c r="B3" s="39" t="s">
        <v>1</v>
      </c>
      <c r="C3" s="39"/>
      <c r="D3" s="40" t="s">
        <v>2</v>
      </c>
      <c r="E3" s="41" t="s">
        <v>3</v>
      </c>
      <c r="F3" s="41" t="s">
        <v>4</v>
      </c>
      <c r="G3" s="40" t="s">
        <v>5</v>
      </c>
      <c r="H3" s="42" t="s">
        <v>6</v>
      </c>
      <c r="I3" s="106" t="s">
        <v>7</v>
      </c>
      <c r="J3" s="106" t="s">
        <v>8</v>
      </c>
      <c r="K3" s="106" t="s">
        <v>278</v>
      </c>
      <c r="L3" s="106" t="s">
        <v>279</v>
      </c>
      <c r="M3" s="43" t="s">
        <v>9</v>
      </c>
      <c r="N3" s="43" t="s">
        <v>10</v>
      </c>
      <c r="O3" s="68" t="s">
        <v>68</v>
      </c>
    </row>
    <row r="4" spans="1:16" ht="14.4" thickBot="1" x14ac:dyDescent="0.35">
      <c r="A4" s="69"/>
      <c r="B4" s="60"/>
      <c r="C4" s="60"/>
      <c r="D4" s="70"/>
      <c r="E4" s="60"/>
      <c r="F4" s="35"/>
      <c r="G4" s="70"/>
      <c r="H4" s="60"/>
      <c r="I4" s="107"/>
      <c r="J4" s="60"/>
      <c r="K4" s="107"/>
      <c r="L4" s="60"/>
      <c r="M4" s="60"/>
      <c r="N4" s="60"/>
      <c r="O4" s="45"/>
    </row>
    <row r="5" spans="1:16" x14ac:dyDescent="0.3">
      <c r="A5" s="71" t="s">
        <v>11</v>
      </c>
      <c r="B5" s="72"/>
      <c r="C5" s="72"/>
      <c r="D5" s="72"/>
      <c r="E5" s="72"/>
      <c r="F5" s="36"/>
      <c r="G5" s="51"/>
      <c r="H5" s="72"/>
      <c r="I5" s="108"/>
      <c r="J5" s="109"/>
      <c r="K5" s="108"/>
      <c r="L5" s="109"/>
      <c r="M5" s="73"/>
      <c r="N5" s="72"/>
      <c r="O5" s="46"/>
    </row>
    <row r="6" spans="1:16" s="75" customFormat="1" ht="27.6" x14ac:dyDescent="0.3">
      <c r="A6" s="74" t="s">
        <v>94</v>
      </c>
      <c r="B6" s="6" t="s">
        <v>105</v>
      </c>
      <c r="C6" s="6" t="s">
        <v>144</v>
      </c>
      <c r="D6" s="6" t="s">
        <v>12</v>
      </c>
      <c r="E6" s="6" t="s">
        <v>13</v>
      </c>
      <c r="F6" s="34" t="s">
        <v>14</v>
      </c>
      <c r="G6" s="18" t="s">
        <v>84</v>
      </c>
      <c r="H6" s="6" t="s">
        <v>16</v>
      </c>
      <c r="I6" s="110"/>
      <c r="J6" s="111"/>
      <c r="K6" s="110">
        <v>345214</v>
      </c>
      <c r="L6" s="111">
        <v>45412</v>
      </c>
      <c r="M6" s="32">
        <f t="shared" ref="M6:M14" si="0">K6 - I6</f>
        <v>345214</v>
      </c>
      <c r="N6" s="32">
        <f t="shared" ref="N6:N14" si="1">L6-J6</f>
        <v>45412</v>
      </c>
      <c r="O6" s="48"/>
      <c r="P6" s="75" t="s">
        <v>277</v>
      </c>
    </row>
    <row r="7" spans="1:16" s="75" customFormat="1" x14ac:dyDescent="0.3">
      <c r="A7" s="74" t="s">
        <v>98</v>
      </c>
      <c r="B7" s="6" t="s">
        <v>96</v>
      </c>
      <c r="C7" s="6"/>
      <c r="D7" s="6" t="s">
        <v>97</v>
      </c>
      <c r="E7" s="6" t="s">
        <v>13</v>
      </c>
      <c r="F7" s="34" t="s">
        <v>14</v>
      </c>
      <c r="G7" s="6" t="s">
        <v>178</v>
      </c>
      <c r="H7" s="6" t="s">
        <v>16</v>
      </c>
      <c r="I7" s="110"/>
      <c r="J7" s="111"/>
      <c r="K7" s="110">
        <v>149302</v>
      </c>
      <c r="L7" s="111">
        <v>47375</v>
      </c>
      <c r="M7" s="32">
        <f t="shared" si="0"/>
        <v>149302</v>
      </c>
      <c r="N7" s="32">
        <f t="shared" si="1"/>
        <v>47375</v>
      </c>
      <c r="O7" s="48"/>
      <c r="P7" s="75" t="s">
        <v>277</v>
      </c>
    </row>
    <row r="8" spans="1:16" s="75" customFormat="1" x14ac:dyDescent="0.3">
      <c r="A8" s="74" t="s">
        <v>99</v>
      </c>
      <c r="B8" s="6" t="s">
        <v>100</v>
      </c>
      <c r="C8" s="6"/>
      <c r="D8" s="6"/>
      <c r="E8" s="6" t="s">
        <v>13</v>
      </c>
      <c r="F8" s="34" t="s">
        <v>14</v>
      </c>
      <c r="G8" s="6" t="s">
        <v>99</v>
      </c>
      <c r="H8" s="6" t="s">
        <v>16</v>
      </c>
      <c r="I8" s="110"/>
      <c r="J8" s="111"/>
      <c r="K8" s="110">
        <v>743807</v>
      </c>
      <c r="L8" s="111">
        <v>48195</v>
      </c>
      <c r="M8" s="32">
        <f t="shared" si="0"/>
        <v>743807</v>
      </c>
      <c r="N8" s="32">
        <f t="shared" si="1"/>
        <v>48195</v>
      </c>
      <c r="O8" s="48"/>
      <c r="P8" s="75" t="s">
        <v>277</v>
      </c>
    </row>
    <row r="9" spans="1:16" s="75" customFormat="1" x14ac:dyDescent="0.3">
      <c r="A9" s="74" t="s">
        <v>95</v>
      </c>
      <c r="B9" s="6" t="s">
        <v>92</v>
      </c>
      <c r="C9" s="6" t="s">
        <v>146</v>
      </c>
      <c r="D9" s="6" t="s">
        <v>80</v>
      </c>
      <c r="E9" s="6" t="s">
        <v>13</v>
      </c>
      <c r="F9" s="34" t="s">
        <v>14</v>
      </c>
      <c r="G9" s="6" t="s">
        <v>179</v>
      </c>
      <c r="H9" s="6" t="s">
        <v>16</v>
      </c>
      <c r="I9" s="110"/>
      <c r="J9" s="111"/>
      <c r="K9" s="110">
        <v>45300</v>
      </c>
      <c r="L9" s="111">
        <v>45435</v>
      </c>
      <c r="M9" s="32">
        <f t="shared" si="0"/>
        <v>45300</v>
      </c>
      <c r="N9" s="32">
        <f t="shared" si="1"/>
        <v>45435</v>
      </c>
      <c r="O9" s="48"/>
      <c r="P9" s="75" t="s">
        <v>277</v>
      </c>
    </row>
    <row r="10" spans="1:16" s="75" customFormat="1" x14ac:dyDescent="0.3">
      <c r="A10" s="74" t="s">
        <v>151</v>
      </c>
      <c r="B10" s="6" t="s">
        <v>133</v>
      </c>
      <c r="C10" s="6"/>
      <c r="D10" s="6" t="s">
        <v>134</v>
      </c>
      <c r="E10" s="6" t="s">
        <v>13</v>
      </c>
      <c r="F10" s="34" t="s">
        <v>14</v>
      </c>
      <c r="G10" s="6" t="s">
        <v>180</v>
      </c>
      <c r="H10" s="6" t="s">
        <v>16</v>
      </c>
      <c r="I10" s="110"/>
      <c r="J10" s="111"/>
      <c r="K10" s="110">
        <v>63206</v>
      </c>
      <c r="L10" s="111">
        <v>45747</v>
      </c>
      <c r="M10" s="32">
        <f t="shared" si="0"/>
        <v>63206</v>
      </c>
      <c r="N10" s="32">
        <f t="shared" si="1"/>
        <v>45747</v>
      </c>
      <c r="O10" s="48"/>
      <c r="P10" s="75" t="s">
        <v>277</v>
      </c>
    </row>
    <row r="11" spans="1:16" s="75" customFormat="1" x14ac:dyDescent="0.3">
      <c r="A11" s="74" t="s">
        <v>154</v>
      </c>
      <c r="B11" s="6" t="s">
        <v>155</v>
      </c>
      <c r="C11" s="6"/>
      <c r="D11" s="6"/>
      <c r="E11" s="6" t="s">
        <v>13</v>
      </c>
      <c r="F11" s="34" t="s">
        <v>14</v>
      </c>
      <c r="G11" s="105" t="s">
        <v>158</v>
      </c>
      <c r="H11" s="6" t="s">
        <v>16</v>
      </c>
      <c r="I11" s="110"/>
      <c r="J11" s="111"/>
      <c r="K11" s="110">
        <v>8516</v>
      </c>
      <c r="L11" s="111">
        <v>45121</v>
      </c>
      <c r="M11" s="32">
        <f t="shared" si="0"/>
        <v>8516</v>
      </c>
      <c r="N11" s="32">
        <f t="shared" si="1"/>
        <v>45121</v>
      </c>
      <c r="O11" s="48"/>
      <c r="P11" s="75" t="s">
        <v>277</v>
      </c>
    </row>
    <row r="12" spans="1:16" s="75" customFormat="1" x14ac:dyDescent="0.3">
      <c r="A12" s="74" t="s">
        <v>157</v>
      </c>
      <c r="B12" s="6" t="s">
        <v>156</v>
      </c>
      <c r="C12" s="6"/>
      <c r="D12" s="6"/>
      <c r="E12" s="6" t="s">
        <v>13</v>
      </c>
      <c r="F12" s="34" t="s">
        <v>14</v>
      </c>
      <c r="G12" s="6" t="s">
        <v>159</v>
      </c>
      <c r="H12" s="6" t="s">
        <v>16</v>
      </c>
      <c r="I12" s="110"/>
      <c r="J12" s="132"/>
      <c r="K12" s="110">
        <v>7249</v>
      </c>
      <c r="L12" s="132">
        <v>44962</v>
      </c>
      <c r="M12" s="32">
        <f t="shared" si="0"/>
        <v>7249</v>
      </c>
      <c r="N12" s="32">
        <f t="shared" si="1"/>
        <v>44962</v>
      </c>
      <c r="O12" s="48"/>
      <c r="P12" s="75" t="s">
        <v>280</v>
      </c>
    </row>
    <row r="13" spans="1:16" s="75" customFormat="1" x14ac:dyDescent="0.3">
      <c r="A13" s="6" t="s">
        <v>262</v>
      </c>
      <c r="B13" s="6" t="s">
        <v>261</v>
      </c>
      <c r="C13" s="6"/>
      <c r="D13" s="6"/>
      <c r="E13" s="6" t="s">
        <v>13</v>
      </c>
      <c r="F13" s="34" t="s">
        <v>14</v>
      </c>
      <c r="G13" s="6" t="s">
        <v>263</v>
      </c>
      <c r="H13" s="6" t="s">
        <v>177</v>
      </c>
      <c r="I13" s="110"/>
      <c r="J13" s="111"/>
      <c r="K13" s="110">
        <v>301050</v>
      </c>
      <c r="L13" s="111">
        <v>46691</v>
      </c>
      <c r="M13" s="32">
        <f t="shared" si="0"/>
        <v>301050</v>
      </c>
      <c r="N13" s="32">
        <f t="shared" si="1"/>
        <v>46691</v>
      </c>
      <c r="O13" s="48"/>
      <c r="P13" s="75" t="s">
        <v>277</v>
      </c>
    </row>
    <row r="14" spans="1:16" s="75" customFormat="1" ht="14.4" thickBot="1" x14ac:dyDescent="0.35">
      <c r="A14" s="50" t="s">
        <v>203</v>
      </c>
      <c r="B14" s="50" t="s">
        <v>202</v>
      </c>
      <c r="C14" s="6" t="s">
        <v>145</v>
      </c>
      <c r="D14" s="6"/>
      <c r="E14" s="50" t="s">
        <v>13</v>
      </c>
      <c r="F14" s="53" t="s">
        <v>14</v>
      </c>
      <c r="G14" s="50" t="s">
        <v>75</v>
      </c>
      <c r="H14" s="6" t="s">
        <v>177</v>
      </c>
      <c r="I14" s="110"/>
      <c r="J14" s="111"/>
      <c r="K14" s="110">
        <v>298632</v>
      </c>
      <c r="L14" s="111">
        <v>46142</v>
      </c>
      <c r="M14" s="32">
        <f t="shared" si="0"/>
        <v>298632</v>
      </c>
      <c r="N14" s="32">
        <f t="shared" si="1"/>
        <v>46142</v>
      </c>
      <c r="O14" s="48"/>
      <c r="P14" s="75" t="s">
        <v>277</v>
      </c>
    </row>
    <row r="15" spans="1:16" ht="14.4" thickBot="1" x14ac:dyDescent="0.35">
      <c r="A15" s="76"/>
      <c r="B15" s="61"/>
      <c r="C15" s="61"/>
      <c r="D15" s="61"/>
      <c r="E15" s="61"/>
      <c r="F15" s="44"/>
      <c r="G15" s="61"/>
      <c r="H15" s="61"/>
      <c r="I15" s="112"/>
      <c r="J15" s="61"/>
      <c r="K15" s="112"/>
      <c r="L15" s="61"/>
      <c r="M15" s="61"/>
      <c r="N15" s="61"/>
      <c r="O15" s="47"/>
    </row>
    <row r="16" spans="1:16" x14ac:dyDescent="0.3">
      <c r="A16" s="77" t="s">
        <v>17</v>
      </c>
      <c r="G16" s="18"/>
      <c r="I16" s="113"/>
      <c r="J16" s="114"/>
      <c r="K16" s="113"/>
      <c r="L16" s="114"/>
      <c r="M16" s="32"/>
      <c r="O16" s="48"/>
    </row>
    <row r="17" spans="1:16" x14ac:dyDescent="0.3">
      <c r="A17" s="50" t="s">
        <v>213</v>
      </c>
      <c r="B17" s="6" t="s">
        <v>90</v>
      </c>
      <c r="C17" s="62" t="s">
        <v>143</v>
      </c>
      <c r="D17" s="6" t="s">
        <v>254</v>
      </c>
      <c r="E17" s="50" t="s">
        <v>87</v>
      </c>
      <c r="F17" s="34" t="s">
        <v>20</v>
      </c>
      <c r="G17" s="50" t="s">
        <v>215</v>
      </c>
      <c r="H17" s="6" t="s">
        <v>16</v>
      </c>
      <c r="I17" s="110"/>
      <c r="J17" s="111"/>
      <c r="K17" s="110">
        <v>299448</v>
      </c>
      <c r="L17" s="111">
        <v>45260</v>
      </c>
      <c r="M17" s="32">
        <f>K17 - I17</f>
        <v>299448</v>
      </c>
      <c r="N17" s="32">
        <f>L17-J17</f>
        <v>45260</v>
      </c>
      <c r="O17" s="78"/>
      <c r="P17" s="6" t="s">
        <v>277</v>
      </c>
    </row>
    <row r="18" spans="1:16" x14ac:dyDescent="0.3">
      <c r="A18" s="50" t="s">
        <v>214</v>
      </c>
      <c r="B18" s="6" t="s">
        <v>109</v>
      </c>
      <c r="C18" s="62" t="s">
        <v>143</v>
      </c>
      <c r="D18" s="6" t="s">
        <v>18</v>
      </c>
      <c r="E18" s="6" t="s">
        <v>19</v>
      </c>
      <c r="F18" s="34" t="s">
        <v>20</v>
      </c>
      <c r="G18" s="18" t="s">
        <v>181</v>
      </c>
      <c r="H18" s="6" t="s">
        <v>16</v>
      </c>
      <c r="I18" s="110"/>
      <c r="J18" s="111"/>
      <c r="K18" s="110">
        <v>405605</v>
      </c>
      <c r="L18" s="111">
        <v>45565</v>
      </c>
      <c r="M18" s="32">
        <f>K18 - I18</f>
        <v>405605</v>
      </c>
      <c r="N18" s="32">
        <f>L18-J18</f>
        <v>45565</v>
      </c>
      <c r="O18" s="48"/>
      <c r="P18" s="6" t="s">
        <v>277</v>
      </c>
    </row>
    <row r="19" spans="1:16" ht="14.4" thickBot="1" x14ac:dyDescent="0.35">
      <c r="A19" s="74"/>
      <c r="G19" s="18"/>
      <c r="I19" s="113"/>
      <c r="J19" s="114"/>
      <c r="K19" s="113"/>
      <c r="L19" s="114"/>
      <c r="M19" s="32"/>
      <c r="N19" s="37"/>
      <c r="O19" s="48"/>
    </row>
    <row r="20" spans="1:16" ht="14.4" thickBot="1" x14ac:dyDescent="0.35">
      <c r="A20" s="79"/>
      <c r="B20" s="61"/>
      <c r="C20" s="61"/>
      <c r="D20" s="61"/>
      <c r="E20" s="61"/>
      <c r="F20" s="80" t="s">
        <v>31</v>
      </c>
      <c r="G20" s="81"/>
      <c r="H20" s="61"/>
      <c r="I20" s="115"/>
      <c r="J20" s="116"/>
      <c r="K20" s="115"/>
      <c r="L20" s="116"/>
      <c r="M20" s="82"/>
      <c r="N20" s="61"/>
      <c r="O20" s="47"/>
    </row>
    <row r="21" spans="1:16" x14ac:dyDescent="0.3">
      <c r="A21" s="77" t="s">
        <v>30</v>
      </c>
      <c r="F21" s="83"/>
      <c r="G21" s="18"/>
      <c r="I21" s="113"/>
      <c r="J21" s="114"/>
      <c r="K21" s="113"/>
      <c r="L21" s="114"/>
      <c r="M21" s="32"/>
      <c r="O21" s="48"/>
    </row>
    <row r="22" spans="1:16" x14ac:dyDescent="0.3">
      <c r="A22" s="74"/>
      <c r="C22" s="62"/>
      <c r="G22" s="18"/>
      <c r="I22" s="113"/>
      <c r="J22" s="114"/>
      <c r="K22" s="113"/>
      <c r="L22" s="114"/>
      <c r="M22" s="32"/>
      <c r="N22" s="32"/>
      <c r="O22" s="78"/>
    </row>
    <row r="23" spans="1:16" x14ac:dyDescent="0.3">
      <c r="A23" s="74" t="s">
        <v>274</v>
      </c>
      <c r="B23" s="6" t="s">
        <v>275</v>
      </c>
      <c r="C23" s="62"/>
      <c r="E23" s="6" t="s">
        <v>32</v>
      </c>
      <c r="F23" s="34" t="s">
        <v>276</v>
      </c>
      <c r="G23" s="18"/>
      <c r="H23" s="6" t="s">
        <v>177</v>
      </c>
      <c r="I23" s="113"/>
      <c r="J23" s="114"/>
      <c r="K23" s="113">
        <v>24185</v>
      </c>
      <c r="L23" s="114">
        <v>45169</v>
      </c>
      <c r="M23" s="32"/>
      <c r="N23" s="32"/>
      <c r="O23" s="78"/>
      <c r="P23" s="6" t="s">
        <v>277</v>
      </c>
    </row>
    <row r="24" spans="1:16" x14ac:dyDescent="0.3">
      <c r="A24" s="74" t="s">
        <v>183</v>
      </c>
      <c r="B24" s="6" t="s">
        <v>47</v>
      </c>
      <c r="C24" s="62" t="s">
        <v>140</v>
      </c>
      <c r="D24" s="6" t="s">
        <v>48</v>
      </c>
      <c r="E24" s="84" t="s">
        <v>32</v>
      </c>
      <c r="F24" s="34" t="s">
        <v>33</v>
      </c>
      <c r="G24" s="84" t="s">
        <v>152</v>
      </c>
      <c r="H24" s="6" t="s">
        <v>16</v>
      </c>
      <c r="I24" s="117"/>
      <c r="J24" s="111"/>
      <c r="K24" s="117">
        <v>488085.17</v>
      </c>
      <c r="L24" s="111">
        <v>46507</v>
      </c>
      <c r="M24" s="32">
        <f>K24 - I24</f>
        <v>488085.17</v>
      </c>
      <c r="N24" s="32">
        <f>L24-J24</f>
        <v>46507</v>
      </c>
      <c r="O24" s="48"/>
      <c r="P24" s="6" t="s">
        <v>277</v>
      </c>
    </row>
    <row r="25" spans="1:16" x14ac:dyDescent="0.3">
      <c r="A25" s="74" t="s">
        <v>185</v>
      </c>
      <c r="B25" s="6" t="s">
        <v>73</v>
      </c>
      <c r="C25" s="62"/>
      <c r="D25" s="6" t="s">
        <v>48</v>
      </c>
      <c r="E25" s="84" t="s">
        <v>32</v>
      </c>
      <c r="F25" s="34" t="s">
        <v>33</v>
      </c>
      <c r="G25" s="84" t="s">
        <v>152</v>
      </c>
      <c r="H25" s="6" t="s">
        <v>16</v>
      </c>
      <c r="I25" s="117"/>
      <c r="J25" s="111"/>
      <c r="K25" s="117">
        <v>311231.37</v>
      </c>
      <c r="L25" s="111">
        <v>46691</v>
      </c>
      <c r="M25" s="32">
        <f>K25 - I25</f>
        <v>311231.37</v>
      </c>
      <c r="N25" s="32">
        <f>L25-J25</f>
        <v>46691</v>
      </c>
      <c r="O25" s="48"/>
      <c r="P25" s="6" t="s">
        <v>277</v>
      </c>
    </row>
    <row r="26" spans="1:16" x14ac:dyDescent="0.3">
      <c r="A26" s="74" t="s">
        <v>182</v>
      </c>
      <c r="B26" s="6" t="s">
        <v>72</v>
      </c>
      <c r="C26" s="62"/>
      <c r="D26" s="6" t="s">
        <v>48</v>
      </c>
      <c r="E26" s="84" t="s">
        <v>32</v>
      </c>
      <c r="F26" s="34" t="s">
        <v>33</v>
      </c>
      <c r="G26" s="84" t="s">
        <v>152</v>
      </c>
      <c r="H26" s="6" t="s">
        <v>16</v>
      </c>
      <c r="I26" s="117"/>
      <c r="J26" s="111"/>
      <c r="K26" s="117">
        <v>193369.56</v>
      </c>
      <c r="L26" s="111">
        <v>46691</v>
      </c>
      <c r="M26" s="32">
        <f>K26 - I26</f>
        <v>193369.56</v>
      </c>
      <c r="N26" s="32">
        <f>L26-J26</f>
        <v>46691</v>
      </c>
      <c r="O26" s="48"/>
      <c r="P26" s="6" t="s">
        <v>277</v>
      </c>
    </row>
    <row r="27" spans="1:16" x14ac:dyDescent="0.3">
      <c r="A27" s="74" t="s">
        <v>186</v>
      </c>
      <c r="B27" s="6" t="s">
        <v>71</v>
      </c>
      <c r="C27" s="62"/>
      <c r="D27" s="6" t="s">
        <v>48</v>
      </c>
      <c r="E27" s="84" t="s">
        <v>32</v>
      </c>
      <c r="F27" s="34" t="s">
        <v>33</v>
      </c>
      <c r="G27" s="84" t="s">
        <v>152</v>
      </c>
      <c r="H27" s="6" t="s">
        <v>16</v>
      </c>
      <c r="I27" s="117"/>
      <c r="J27" s="111"/>
      <c r="K27" s="117">
        <v>388673.5</v>
      </c>
      <c r="L27" s="111">
        <v>46691</v>
      </c>
      <c r="M27" s="32">
        <f>K27 - I27</f>
        <v>388673.5</v>
      </c>
      <c r="N27" s="32">
        <f>L27-J27</f>
        <v>46691</v>
      </c>
      <c r="O27" s="48"/>
      <c r="P27" s="6" t="s">
        <v>277</v>
      </c>
    </row>
    <row r="28" spans="1:16" x14ac:dyDescent="0.3">
      <c r="A28" s="74" t="s">
        <v>184</v>
      </c>
      <c r="B28" s="6" t="s">
        <v>79</v>
      </c>
      <c r="D28" s="6" t="s">
        <v>48</v>
      </c>
      <c r="E28" s="84" t="s">
        <v>32</v>
      </c>
      <c r="F28" s="34" t="s">
        <v>33</v>
      </c>
      <c r="G28" s="84" t="s">
        <v>152</v>
      </c>
      <c r="H28" s="6" t="s">
        <v>16</v>
      </c>
      <c r="I28" s="110"/>
      <c r="J28" s="111"/>
      <c r="K28" s="110">
        <v>35000</v>
      </c>
      <c r="L28" s="111">
        <v>46691</v>
      </c>
      <c r="M28" s="32">
        <f>K28 - I28</f>
        <v>35000</v>
      </c>
      <c r="N28" s="32">
        <f>L28-J28</f>
        <v>46691</v>
      </c>
      <c r="O28" s="48"/>
      <c r="P28" s="6" t="s">
        <v>277</v>
      </c>
    </row>
    <row r="29" spans="1:16" x14ac:dyDescent="0.3">
      <c r="A29" s="74"/>
      <c r="E29" s="84"/>
      <c r="G29" s="84"/>
      <c r="I29" s="6"/>
      <c r="K29" s="6"/>
      <c r="M29" s="32"/>
      <c r="N29" s="32"/>
      <c r="O29" s="48"/>
    </row>
    <row r="30" spans="1:16" x14ac:dyDescent="0.3">
      <c r="A30" s="85" t="s">
        <v>187</v>
      </c>
      <c r="B30" s="6" t="s">
        <v>65</v>
      </c>
      <c r="D30" s="86" t="s">
        <v>66</v>
      </c>
      <c r="E30" s="6" t="s">
        <v>32</v>
      </c>
      <c r="F30" s="34" t="s">
        <v>33</v>
      </c>
      <c r="G30" s="18" t="s">
        <v>188</v>
      </c>
      <c r="H30" s="6" t="s">
        <v>16</v>
      </c>
      <c r="I30" s="117"/>
      <c r="J30" s="111"/>
      <c r="K30" s="117">
        <v>1507532.42</v>
      </c>
      <c r="L30" s="111">
        <v>47269</v>
      </c>
      <c r="M30" s="32">
        <f>K30 - I30</f>
        <v>1507532.42</v>
      </c>
      <c r="N30" s="32">
        <f>L30-J30</f>
        <v>47269</v>
      </c>
      <c r="O30" s="48"/>
      <c r="P30" s="6" t="s">
        <v>277</v>
      </c>
    </row>
    <row r="31" spans="1:16" x14ac:dyDescent="0.3">
      <c r="A31" s="85"/>
      <c r="D31" s="86"/>
      <c r="G31" s="18"/>
      <c r="I31" s="6"/>
      <c r="K31" s="6"/>
      <c r="M31" s="32"/>
      <c r="N31" s="32"/>
      <c r="O31" s="48"/>
    </row>
    <row r="32" spans="1:16" x14ac:dyDescent="0.3">
      <c r="A32" s="52"/>
      <c r="D32" s="84"/>
      <c r="G32" s="18"/>
      <c r="I32" s="6"/>
      <c r="K32" s="6"/>
      <c r="M32" s="32"/>
      <c r="N32" s="32"/>
      <c r="O32" s="48"/>
    </row>
    <row r="33" spans="1:16" x14ac:dyDescent="0.3">
      <c r="A33" s="52" t="s">
        <v>189</v>
      </c>
      <c r="B33" s="6" t="s">
        <v>82</v>
      </c>
      <c r="C33" s="6" t="s">
        <v>147</v>
      </c>
      <c r="D33" s="84" t="s">
        <v>83</v>
      </c>
      <c r="E33" s="6" t="s">
        <v>32</v>
      </c>
      <c r="F33" s="34" t="s">
        <v>33</v>
      </c>
      <c r="G33" s="18" t="s">
        <v>153</v>
      </c>
      <c r="H33" s="6" t="s">
        <v>16</v>
      </c>
      <c r="I33" s="110"/>
      <c r="J33" s="111"/>
      <c r="K33" s="110">
        <v>1256246</v>
      </c>
      <c r="L33" s="111">
        <v>47573</v>
      </c>
      <c r="M33" s="32">
        <f>K33 - I33</f>
        <v>1256246</v>
      </c>
      <c r="N33" s="32">
        <f>L33-J33</f>
        <v>47573</v>
      </c>
      <c r="O33" s="48"/>
      <c r="P33" s="6" t="s">
        <v>277</v>
      </c>
    </row>
    <row r="34" spans="1:16" ht="14.4" thickBot="1" x14ac:dyDescent="0.35">
      <c r="A34" s="87"/>
      <c r="D34" s="84"/>
      <c r="G34" s="18"/>
      <c r="I34" s="6"/>
      <c r="K34" s="6"/>
      <c r="M34" s="32"/>
      <c r="N34" s="32"/>
      <c r="O34" s="48"/>
    </row>
    <row r="35" spans="1:16" ht="14.4" thickBot="1" x14ac:dyDescent="0.35">
      <c r="A35" s="76"/>
      <c r="B35" s="61"/>
      <c r="C35" s="61"/>
      <c r="D35" s="61"/>
      <c r="E35" s="61"/>
      <c r="F35" s="44"/>
      <c r="G35" s="81"/>
      <c r="H35" s="61"/>
      <c r="I35" s="61"/>
      <c r="J35" s="61"/>
      <c r="K35" s="61"/>
      <c r="L35" s="61"/>
      <c r="M35" s="82"/>
      <c r="N35" s="61"/>
      <c r="O35" s="47"/>
    </row>
    <row r="36" spans="1:16" x14ac:dyDescent="0.3">
      <c r="A36" s="71" t="s">
        <v>60</v>
      </c>
      <c r="B36" s="72"/>
      <c r="C36" s="72"/>
      <c r="D36" s="72"/>
      <c r="E36" s="72"/>
      <c r="F36" s="36"/>
      <c r="G36" s="51"/>
      <c r="H36" s="72"/>
      <c r="I36" s="6"/>
      <c r="K36" s="6"/>
      <c r="M36" s="73"/>
      <c r="N36" s="72"/>
      <c r="O36" s="46"/>
    </row>
    <row r="37" spans="1:16" x14ac:dyDescent="0.3">
      <c r="A37" s="50" t="s">
        <v>199</v>
      </c>
      <c r="B37" s="6" t="s">
        <v>91</v>
      </c>
      <c r="C37" s="6" t="s">
        <v>138</v>
      </c>
      <c r="D37" s="6" t="s">
        <v>61</v>
      </c>
      <c r="E37" s="6" t="s">
        <v>62</v>
      </c>
      <c r="F37" s="34" t="s">
        <v>63</v>
      </c>
      <c r="G37" s="18" t="s">
        <v>64</v>
      </c>
      <c r="H37" s="6" t="s">
        <v>16</v>
      </c>
      <c r="I37" s="110"/>
      <c r="J37" s="111"/>
      <c r="K37" s="110">
        <v>58739</v>
      </c>
      <c r="L37" s="111">
        <v>45291</v>
      </c>
      <c r="M37" s="32">
        <f t="shared" ref="M37:M44" si="2">K37 - I37</f>
        <v>58739</v>
      </c>
      <c r="N37" s="32">
        <f t="shared" ref="N37:N43" si="3">L37-J37</f>
        <v>45291</v>
      </c>
      <c r="O37" s="48"/>
      <c r="P37" s="6" t="s">
        <v>277</v>
      </c>
    </row>
    <row r="38" spans="1:16" x14ac:dyDescent="0.3">
      <c r="A38" s="74" t="s">
        <v>195</v>
      </c>
      <c r="B38" s="6" t="s">
        <v>267</v>
      </c>
      <c r="C38" s="6" t="s">
        <v>135</v>
      </c>
      <c r="D38" s="6" t="s">
        <v>61</v>
      </c>
      <c r="E38" s="6" t="s">
        <v>62</v>
      </c>
      <c r="F38" s="34" t="s">
        <v>63</v>
      </c>
      <c r="G38" s="18" t="s">
        <v>64</v>
      </c>
      <c r="H38" s="6" t="s">
        <v>16</v>
      </c>
      <c r="I38" s="110"/>
      <c r="J38" s="111"/>
      <c r="K38" s="110">
        <v>55620</v>
      </c>
      <c r="L38" s="111">
        <v>45535</v>
      </c>
      <c r="M38" s="32">
        <f t="shared" si="2"/>
        <v>55620</v>
      </c>
      <c r="N38" s="32">
        <f t="shared" si="3"/>
        <v>45535</v>
      </c>
      <c r="O38" s="48"/>
      <c r="P38" s="6" t="s">
        <v>277</v>
      </c>
    </row>
    <row r="39" spans="1:16" x14ac:dyDescent="0.3">
      <c r="A39" s="54" t="s">
        <v>196</v>
      </c>
      <c r="B39" s="6" t="s">
        <v>102</v>
      </c>
      <c r="C39" s="6" t="s">
        <v>136</v>
      </c>
      <c r="D39" s="6" t="s">
        <v>61</v>
      </c>
      <c r="E39" s="6" t="s">
        <v>62</v>
      </c>
      <c r="F39" s="34" t="s">
        <v>63</v>
      </c>
      <c r="G39" s="18" t="s">
        <v>64</v>
      </c>
      <c r="H39" s="6" t="s">
        <v>16</v>
      </c>
      <c r="I39" s="110"/>
      <c r="J39" s="111"/>
      <c r="K39" s="110">
        <v>56620</v>
      </c>
      <c r="L39" s="111">
        <v>45535</v>
      </c>
      <c r="M39" s="32">
        <f t="shared" si="2"/>
        <v>56620</v>
      </c>
      <c r="N39" s="32">
        <f t="shared" si="3"/>
        <v>45535</v>
      </c>
      <c r="O39" s="48"/>
      <c r="P39" s="6" t="s">
        <v>277</v>
      </c>
    </row>
    <row r="40" spans="1:16" x14ac:dyDescent="0.3">
      <c r="A40" s="54" t="s">
        <v>198</v>
      </c>
      <c r="B40" s="6" t="s">
        <v>104</v>
      </c>
      <c r="C40" s="6" t="s">
        <v>137</v>
      </c>
      <c r="D40" s="6" t="s">
        <v>61</v>
      </c>
      <c r="E40" s="6" t="s">
        <v>62</v>
      </c>
      <c r="F40" s="34" t="s">
        <v>63</v>
      </c>
      <c r="G40" s="18" t="s">
        <v>64</v>
      </c>
      <c r="H40" s="6" t="s">
        <v>16</v>
      </c>
      <c r="I40" s="110"/>
      <c r="J40" s="111"/>
      <c r="K40" s="110">
        <v>41920</v>
      </c>
      <c r="L40" s="111">
        <v>45535</v>
      </c>
      <c r="M40" s="32">
        <f t="shared" si="2"/>
        <v>41920</v>
      </c>
      <c r="N40" s="32">
        <f t="shared" si="3"/>
        <v>45535</v>
      </c>
      <c r="O40" s="88"/>
      <c r="P40" s="6" t="s">
        <v>277</v>
      </c>
    </row>
    <row r="41" spans="1:16" x14ac:dyDescent="0.3">
      <c r="A41" s="54" t="s">
        <v>197</v>
      </c>
      <c r="B41" s="6" t="s">
        <v>103</v>
      </c>
      <c r="C41" s="6" t="s">
        <v>137</v>
      </c>
      <c r="D41" s="6" t="s">
        <v>61</v>
      </c>
      <c r="E41" s="6" t="s">
        <v>62</v>
      </c>
      <c r="F41" s="34" t="s">
        <v>63</v>
      </c>
      <c r="G41" s="18" t="s">
        <v>64</v>
      </c>
      <c r="H41" s="6" t="s">
        <v>16</v>
      </c>
      <c r="I41" s="110"/>
      <c r="J41" s="111"/>
      <c r="K41" s="110">
        <v>5000</v>
      </c>
      <c r="L41" s="111">
        <v>45535</v>
      </c>
      <c r="M41" s="32">
        <f t="shared" si="2"/>
        <v>5000</v>
      </c>
      <c r="N41" s="32">
        <f t="shared" si="3"/>
        <v>45535</v>
      </c>
      <c r="O41" s="48"/>
      <c r="P41" s="6" t="s">
        <v>277</v>
      </c>
    </row>
    <row r="42" spans="1:16" ht="27.6" x14ac:dyDescent="0.3">
      <c r="A42" s="54" t="s">
        <v>200</v>
      </c>
      <c r="B42" s="6" t="s">
        <v>132</v>
      </c>
      <c r="C42" s="6" t="s">
        <v>139</v>
      </c>
      <c r="D42" s="6" t="s">
        <v>93</v>
      </c>
      <c r="E42" s="6" t="s">
        <v>62</v>
      </c>
      <c r="F42" s="34" t="s">
        <v>63</v>
      </c>
      <c r="G42" s="18" t="s">
        <v>201</v>
      </c>
      <c r="H42" s="6" t="s">
        <v>16</v>
      </c>
      <c r="I42" s="110"/>
      <c r="J42" s="111"/>
      <c r="K42" s="110">
        <v>61079</v>
      </c>
      <c r="L42" s="111">
        <v>45260</v>
      </c>
      <c r="M42" s="32">
        <f t="shared" si="2"/>
        <v>61079</v>
      </c>
      <c r="N42" s="32">
        <f t="shared" si="3"/>
        <v>45260</v>
      </c>
      <c r="O42" s="48"/>
      <c r="P42" s="6" t="s">
        <v>277</v>
      </c>
    </row>
    <row r="43" spans="1:16" x14ac:dyDescent="0.3">
      <c r="A43" s="54" t="s">
        <v>210</v>
      </c>
      <c r="B43" s="50" t="s">
        <v>209</v>
      </c>
      <c r="C43" s="6" t="s">
        <v>137</v>
      </c>
      <c r="D43" s="6" t="s">
        <v>61</v>
      </c>
      <c r="E43" s="50" t="s">
        <v>62</v>
      </c>
      <c r="F43" s="53" t="s">
        <v>63</v>
      </c>
      <c r="G43" s="50" t="s">
        <v>64</v>
      </c>
      <c r="H43" s="6" t="s">
        <v>16</v>
      </c>
      <c r="I43" s="110"/>
      <c r="J43" s="111"/>
      <c r="K43" s="110">
        <v>4900</v>
      </c>
      <c r="L43" s="111">
        <v>45535</v>
      </c>
      <c r="M43" s="32">
        <f t="shared" si="2"/>
        <v>4900</v>
      </c>
      <c r="N43" s="32">
        <f t="shared" si="3"/>
        <v>45535</v>
      </c>
      <c r="O43" s="48"/>
      <c r="P43" s="6" t="s">
        <v>277</v>
      </c>
    </row>
    <row r="44" spans="1:16" ht="14.4" thickBot="1" x14ac:dyDescent="0.35">
      <c r="A44" s="55" t="s">
        <v>218</v>
      </c>
      <c r="B44" s="56" t="s">
        <v>217</v>
      </c>
      <c r="C44" s="60" t="s">
        <v>137</v>
      </c>
      <c r="D44" s="60" t="s">
        <v>61</v>
      </c>
      <c r="E44" s="56" t="s">
        <v>62</v>
      </c>
      <c r="F44" s="57" t="s">
        <v>63</v>
      </c>
      <c r="G44" s="56" t="s">
        <v>64</v>
      </c>
      <c r="H44" s="60" t="s">
        <v>16</v>
      </c>
      <c r="I44" s="110"/>
      <c r="J44" s="111"/>
      <c r="K44" s="110">
        <v>4800</v>
      </c>
      <c r="L44" s="111">
        <v>45535</v>
      </c>
      <c r="M44" s="32">
        <f t="shared" si="2"/>
        <v>4800</v>
      </c>
      <c r="N44" s="32">
        <f>L44-J44</f>
        <v>45535</v>
      </c>
      <c r="O44" s="45"/>
      <c r="P44" s="6" t="s">
        <v>277</v>
      </c>
    </row>
    <row r="45" spans="1:16" ht="14.4" thickBot="1" x14ac:dyDescent="0.35">
      <c r="A45" s="89"/>
      <c r="B45" s="90"/>
      <c r="C45" s="90"/>
      <c r="D45" s="90"/>
      <c r="E45" s="90"/>
      <c r="F45" s="91"/>
      <c r="G45" s="90"/>
      <c r="H45" s="92"/>
      <c r="I45" s="61"/>
      <c r="J45" s="61"/>
      <c r="K45" s="61"/>
      <c r="L45" s="61"/>
      <c r="M45" s="93"/>
      <c r="N45" s="93"/>
      <c r="O45" s="94"/>
    </row>
    <row r="46" spans="1:16" x14ac:dyDescent="0.3">
      <c r="A46" s="71" t="s">
        <v>160</v>
      </c>
      <c r="B46" s="72"/>
      <c r="C46" s="72"/>
      <c r="D46" s="72"/>
      <c r="E46" s="72"/>
      <c r="F46" s="36"/>
      <c r="G46" s="72"/>
      <c r="H46" s="72"/>
      <c r="I46" s="6"/>
      <c r="K46" s="6"/>
      <c r="M46" s="72"/>
      <c r="N46" s="72"/>
      <c r="O46" s="46"/>
    </row>
    <row r="47" spans="1:16" x14ac:dyDescent="0.3">
      <c r="A47" s="84" t="s">
        <v>244</v>
      </c>
      <c r="B47" s="84" t="s">
        <v>245</v>
      </c>
      <c r="C47" s="87" t="s">
        <v>244</v>
      </c>
      <c r="D47" s="6" t="s">
        <v>172</v>
      </c>
      <c r="E47" s="6" t="s">
        <v>167</v>
      </c>
      <c r="F47" s="34" t="s">
        <v>168</v>
      </c>
      <c r="G47" s="6" t="s">
        <v>246</v>
      </c>
      <c r="H47" s="6" t="s">
        <v>244</v>
      </c>
      <c r="I47" s="110"/>
      <c r="J47" s="111"/>
      <c r="K47" s="110">
        <v>17367</v>
      </c>
      <c r="L47" s="111">
        <v>45077</v>
      </c>
      <c r="M47" s="32">
        <f>K47-I47</f>
        <v>17367</v>
      </c>
      <c r="N47" s="32">
        <f>L47-J47</f>
        <v>45077</v>
      </c>
      <c r="O47" s="48"/>
      <c r="P47" s="6" t="s">
        <v>277</v>
      </c>
    </row>
    <row r="48" spans="1:16" x14ac:dyDescent="0.3">
      <c r="A48" s="74" t="s">
        <v>161</v>
      </c>
      <c r="B48" s="6" t="s">
        <v>212</v>
      </c>
      <c r="C48" s="6" t="s">
        <v>161</v>
      </c>
      <c r="D48" s="6" t="s">
        <v>172</v>
      </c>
      <c r="E48" s="6" t="s">
        <v>167</v>
      </c>
      <c r="F48" s="34" t="s">
        <v>168</v>
      </c>
      <c r="G48" s="6" t="s">
        <v>164</v>
      </c>
      <c r="H48" s="6" t="s">
        <v>161</v>
      </c>
      <c r="I48" s="110"/>
      <c r="J48" s="111"/>
      <c r="K48" s="110">
        <v>5325</v>
      </c>
      <c r="L48" s="111">
        <v>45107</v>
      </c>
      <c r="M48" s="32">
        <f>K48 - I48</f>
        <v>5325</v>
      </c>
      <c r="N48" s="32">
        <f>L48-J48</f>
        <v>45107</v>
      </c>
      <c r="O48" s="48"/>
      <c r="P48" s="6" t="s">
        <v>277</v>
      </c>
    </row>
    <row r="49" spans="1:16" ht="28.2" thickBot="1" x14ac:dyDescent="0.35">
      <c r="A49" s="69" t="s">
        <v>162</v>
      </c>
      <c r="B49" s="60" t="s">
        <v>163</v>
      </c>
      <c r="C49" s="60" t="s">
        <v>162</v>
      </c>
      <c r="D49" s="60" t="s">
        <v>172</v>
      </c>
      <c r="E49" s="60" t="s">
        <v>167</v>
      </c>
      <c r="F49" s="35" t="s">
        <v>168</v>
      </c>
      <c r="G49" s="60" t="s">
        <v>165</v>
      </c>
      <c r="H49" s="60" t="s">
        <v>16</v>
      </c>
      <c r="I49" s="110"/>
      <c r="J49" s="132"/>
      <c r="K49" s="110">
        <v>26878</v>
      </c>
      <c r="L49" s="132">
        <v>44774</v>
      </c>
      <c r="M49" s="32">
        <f>K49 - I49</f>
        <v>26878</v>
      </c>
      <c r="N49" s="32">
        <f>L49-J49</f>
        <v>44774</v>
      </c>
      <c r="O49" s="48" t="s">
        <v>264</v>
      </c>
      <c r="P49" s="6" t="s">
        <v>280</v>
      </c>
    </row>
    <row r="50" spans="1:16" ht="14.4" thickBot="1" x14ac:dyDescent="0.35">
      <c r="A50" s="95"/>
      <c r="B50" s="93"/>
      <c r="C50" s="93"/>
      <c r="D50" s="93"/>
      <c r="E50" s="93"/>
      <c r="F50" s="96"/>
      <c r="G50" s="93"/>
      <c r="H50" s="97"/>
      <c r="I50" s="61"/>
      <c r="J50" s="61"/>
      <c r="K50" s="61"/>
      <c r="L50" s="61"/>
      <c r="M50" s="93"/>
      <c r="N50" s="93"/>
      <c r="O50" s="98"/>
    </row>
    <row r="51" spans="1:16" x14ac:dyDescent="0.3">
      <c r="A51" s="71" t="s">
        <v>166</v>
      </c>
      <c r="B51" s="72"/>
      <c r="C51" s="72"/>
      <c r="D51" s="72"/>
      <c r="E51" s="72"/>
      <c r="F51" s="36"/>
      <c r="G51" s="72"/>
      <c r="H51" s="72"/>
      <c r="I51" s="6"/>
      <c r="K51" s="6"/>
      <c r="M51" s="72"/>
      <c r="N51" s="72"/>
      <c r="O51" s="46"/>
    </row>
    <row r="52" spans="1:16" ht="27.6" x14ac:dyDescent="0.3">
      <c r="A52" s="74" t="s">
        <v>169</v>
      </c>
      <c r="B52" s="6" t="s">
        <v>211</v>
      </c>
      <c r="C52" s="6" t="s">
        <v>169</v>
      </c>
      <c r="D52" s="6" t="s">
        <v>173</v>
      </c>
      <c r="E52" s="6" t="s">
        <v>170</v>
      </c>
      <c r="F52" s="34" t="s">
        <v>63</v>
      </c>
      <c r="G52" s="6" t="s">
        <v>171</v>
      </c>
      <c r="H52" s="6" t="s">
        <v>169</v>
      </c>
      <c r="I52" s="110"/>
      <c r="J52" s="132"/>
      <c r="K52" s="110">
        <v>1840</v>
      </c>
      <c r="L52" s="132">
        <v>44926</v>
      </c>
      <c r="M52" s="32">
        <f>K52 - I52</f>
        <v>1840</v>
      </c>
      <c r="N52" s="32">
        <f>L52-J52</f>
        <v>44926</v>
      </c>
      <c r="O52" s="48" t="s">
        <v>265</v>
      </c>
      <c r="P52" s="6" t="s">
        <v>280</v>
      </c>
    </row>
    <row r="53" spans="1:16" ht="14.4" thickBot="1" x14ac:dyDescent="0.35">
      <c r="A53" s="6" t="s">
        <v>247</v>
      </c>
      <c r="B53" s="6" t="s">
        <v>248</v>
      </c>
      <c r="C53" s="6" t="s">
        <v>247</v>
      </c>
      <c r="D53" s="6" t="s">
        <v>173</v>
      </c>
      <c r="E53" s="6" t="s">
        <v>170</v>
      </c>
      <c r="F53" s="34" t="s">
        <v>63</v>
      </c>
      <c r="G53" s="6" t="s">
        <v>249</v>
      </c>
      <c r="H53" s="6" t="s">
        <v>247</v>
      </c>
      <c r="I53" s="110"/>
      <c r="J53" s="111"/>
      <c r="K53" s="110">
        <v>20657</v>
      </c>
      <c r="L53" s="111">
        <v>45077</v>
      </c>
      <c r="M53" s="32">
        <f>K53 - I53</f>
        <v>20657</v>
      </c>
      <c r="N53" s="32">
        <f>L53-J53</f>
        <v>45077</v>
      </c>
      <c r="O53" s="48"/>
      <c r="P53" s="6" t="s">
        <v>277</v>
      </c>
    </row>
    <row r="54" spans="1:16" ht="14.4" thickBot="1" x14ac:dyDescent="0.35">
      <c r="A54" s="95"/>
      <c r="B54" s="93"/>
      <c r="C54" s="93"/>
      <c r="D54" s="93"/>
      <c r="E54" s="93"/>
      <c r="F54" s="96"/>
      <c r="G54" s="93"/>
      <c r="H54" s="99"/>
      <c r="I54" s="61"/>
      <c r="J54" s="61"/>
      <c r="K54" s="61"/>
      <c r="L54" s="61"/>
      <c r="M54" s="93"/>
      <c r="N54" s="93"/>
      <c r="O54" s="98"/>
    </row>
    <row r="55" spans="1:16" ht="14.4" thickBot="1" x14ac:dyDescent="0.35">
      <c r="A55" s="100" t="s">
        <v>190</v>
      </c>
      <c r="B55" s="101"/>
      <c r="C55" s="93"/>
      <c r="D55" s="93"/>
      <c r="E55" s="93"/>
      <c r="F55" s="96"/>
      <c r="G55" s="93"/>
      <c r="H55" s="93"/>
      <c r="I55" s="61"/>
      <c r="J55" s="61"/>
      <c r="K55" s="61"/>
      <c r="L55" s="61"/>
      <c r="M55" s="93"/>
      <c r="N55" s="93"/>
      <c r="O55" s="98"/>
    </row>
    <row r="56" spans="1:16" ht="27.6" x14ac:dyDescent="0.3">
      <c r="A56" s="6" t="s">
        <v>191</v>
      </c>
      <c r="B56" s="50" t="s">
        <v>208</v>
      </c>
      <c r="C56" s="6" t="s">
        <v>191</v>
      </c>
      <c r="D56" s="6" t="s">
        <v>240</v>
      </c>
      <c r="E56" s="6" t="s">
        <v>192</v>
      </c>
      <c r="F56" s="34" t="s">
        <v>193</v>
      </c>
      <c r="G56" s="6" t="s">
        <v>194</v>
      </c>
      <c r="H56" s="6" t="s">
        <v>191</v>
      </c>
      <c r="I56" s="110"/>
      <c r="J56" s="132"/>
      <c r="K56" s="110">
        <v>1437</v>
      </c>
      <c r="L56" s="132">
        <v>44926</v>
      </c>
      <c r="M56" s="32">
        <f>K56 - I56</f>
        <v>1437</v>
      </c>
      <c r="N56" s="32">
        <f>L56-J56</f>
        <v>44926</v>
      </c>
      <c r="O56" s="48" t="s">
        <v>265</v>
      </c>
      <c r="P56" s="6" t="s">
        <v>280</v>
      </c>
    </row>
    <row r="57" spans="1:16" ht="14.4" thickBot="1" x14ac:dyDescent="0.35">
      <c r="A57" s="6" t="s">
        <v>250</v>
      </c>
      <c r="B57" s="50" t="s">
        <v>251</v>
      </c>
      <c r="C57" s="6" t="s">
        <v>250</v>
      </c>
      <c r="D57" s="6" t="s">
        <v>240</v>
      </c>
      <c r="E57" s="6" t="s">
        <v>192</v>
      </c>
      <c r="F57" s="34" t="s">
        <v>193</v>
      </c>
      <c r="G57" s="6" t="s">
        <v>252</v>
      </c>
      <c r="H57" s="6" t="s">
        <v>250</v>
      </c>
      <c r="I57" s="110"/>
      <c r="J57" s="111"/>
      <c r="K57" s="110">
        <v>21500</v>
      </c>
      <c r="L57" s="111">
        <v>45077</v>
      </c>
      <c r="M57" s="32">
        <f>K57 - I57</f>
        <v>21500</v>
      </c>
      <c r="N57" s="32">
        <f>L57-J57</f>
        <v>45077</v>
      </c>
      <c r="O57" s="48"/>
      <c r="P57" s="6" t="s">
        <v>277</v>
      </c>
    </row>
    <row r="58" spans="1:16" ht="14.4" thickBot="1" x14ac:dyDescent="0.35">
      <c r="A58" s="95"/>
      <c r="B58" s="93"/>
      <c r="C58" s="93"/>
      <c r="D58" s="93"/>
      <c r="E58" s="93"/>
      <c r="F58" s="96"/>
      <c r="G58" s="93"/>
      <c r="H58" s="93"/>
      <c r="I58" s="61"/>
      <c r="J58" s="61"/>
      <c r="K58" s="61"/>
      <c r="L58" s="61"/>
      <c r="M58" s="93"/>
      <c r="N58" s="93"/>
      <c r="O58" s="98"/>
    </row>
    <row r="59" spans="1:16" x14ac:dyDescent="0.3">
      <c r="A59" s="71" t="s">
        <v>219</v>
      </c>
      <c r="I59" s="6"/>
      <c r="K59" s="6"/>
      <c r="O59" s="124"/>
    </row>
    <row r="60" spans="1:16" ht="14.4" thickBot="1" x14ac:dyDescent="0.35">
      <c r="A60" s="50" t="s">
        <v>221</v>
      </c>
      <c r="B60" s="50" t="s">
        <v>220</v>
      </c>
      <c r="C60" s="50" t="s">
        <v>221</v>
      </c>
      <c r="D60" s="6" t="s">
        <v>241</v>
      </c>
      <c r="E60" s="50" t="s">
        <v>223</v>
      </c>
      <c r="F60" s="50" t="s">
        <v>224</v>
      </c>
      <c r="G60" s="50" t="s">
        <v>222</v>
      </c>
      <c r="H60" s="50" t="s">
        <v>221</v>
      </c>
      <c r="I60" s="110"/>
      <c r="J60" s="132"/>
      <c r="K60" s="110">
        <v>450</v>
      </c>
      <c r="L60" s="132">
        <v>45016</v>
      </c>
      <c r="M60" s="32">
        <f>K60 - I60</f>
        <v>450</v>
      </c>
      <c r="N60" s="32">
        <f>L60-J60</f>
        <v>45016</v>
      </c>
      <c r="O60" s="124"/>
      <c r="P60" s="6" t="s">
        <v>280</v>
      </c>
    </row>
    <row r="61" spans="1:16" ht="14.4" thickBot="1" x14ac:dyDescent="0.35">
      <c r="A61" s="95"/>
      <c r="B61" s="93"/>
      <c r="C61" s="93"/>
      <c r="D61" s="93"/>
      <c r="E61" s="93"/>
      <c r="F61" s="96"/>
      <c r="G61" s="93"/>
      <c r="H61" s="93"/>
      <c r="I61" s="61"/>
      <c r="J61" s="61"/>
      <c r="K61" s="61"/>
      <c r="L61" s="61"/>
      <c r="M61" s="93"/>
      <c r="N61" s="93"/>
      <c r="O61" s="98"/>
    </row>
    <row r="62" spans="1:16" x14ac:dyDescent="0.3">
      <c r="A62" s="71" t="s">
        <v>235</v>
      </c>
      <c r="I62" s="6"/>
      <c r="K62" s="6"/>
      <c r="O62" s="124"/>
    </row>
    <row r="63" spans="1:16" ht="14.4" thickBot="1" x14ac:dyDescent="0.35">
      <c r="A63" s="50" t="s">
        <v>231</v>
      </c>
      <c r="B63" s="50" t="s">
        <v>230</v>
      </c>
      <c r="C63" s="50" t="s">
        <v>231</v>
      </c>
      <c r="D63" s="6" t="s">
        <v>243</v>
      </c>
      <c r="E63" s="50" t="s">
        <v>233</v>
      </c>
      <c r="F63" s="50" t="s">
        <v>234</v>
      </c>
      <c r="G63" s="50" t="s">
        <v>232</v>
      </c>
      <c r="H63" s="50" t="s">
        <v>231</v>
      </c>
      <c r="I63" s="110"/>
      <c r="J63" s="132"/>
      <c r="K63" s="110">
        <v>500</v>
      </c>
      <c r="L63" s="132">
        <v>45016</v>
      </c>
      <c r="M63" s="32">
        <f>K63 - I63</f>
        <v>500</v>
      </c>
      <c r="N63" s="32">
        <f>L63-J63</f>
        <v>45016</v>
      </c>
      <c r="O63" s="48"/>
      <c r="P63" s="6" t="s">
        <v>280</v>
      </c>
    </row>
    <row r="64" spans="1:16" ht="14.4" thickBot="1" x14ac:dyDescent="0.35">
      <c r="A64" s="95"/>
      <c r="B64" s="93"/>
      <c r="C64" s="93"/>
      <c r="D64" s="93"/>
      <c r="E64" s="93"/>
      <c r="F64" s="96"/>
      <c r="G64" s="93"/>
      <c r="H64" s="93"/>
      <c r="I64" s="118"/>
      <c r="J64" s="119"/>
      <c r="K64" s="118"/>
      <c r="L64" s="119"/>
      <c r="M64" s="93"/>
      <c r="N64" s="93"/>
      <c r="O64" s="98"/>
    </row>
    <row r="65" spans="1:15" s="128" customFormat="1" x14ac:dyDescent="0.3">
      <c r="A65" s="131" t="s">
        <v>268</v>
      </c>
      <c r="F65" s="129"/>
      <c r="I65" s="113"/>
      <c r="J65" s="133"/>
      <c r="K65" s="113"/>
      <c r="L65" s="133"/>
      <c r="O65" s="130"/>
    </row>
    <row r="66" spans="1:15" s="128" customFormat="1" ht="14.4" thickBot="1" x14ac:dyDescent="0.35">
      <c r="A66" s="128" t="s">
        <v>269</v>
      </c>
      <c r="B66" s="128" t="s">
        <v>270</v>
      </c>
      <c r="E66" s="128" t="s">
        <v>271</v>
      </c>
      <c r="F66" s="129" t="s">
        <v>272</v>
      </c>
      <c r="G66" s="128" t="s">
        <v>273</v>
      </c>
      <c r="H66" s="128" t="s">
        <v>177</v>
      </c>
      <c r="I66" s="113"/>
      <c r="J66" s="134"/>
      <c r="K66" s="113">
        <v>14920</v>
      </c>
      <c r="L66" s="134">
        <v>45412</v>
      </c>
      <c r="O66" s="130"/>
    </row>
    <row r="67" spans="1:15" s="128" customFormat="1" ht="14.4" thickBot="1" x14ac:dyDescent="0.35">
      <c r="A67" s="95"/>
      <c r="B67" s="93"/>
      <c r="C67" s="93"/>
      <c r="D67" s="93"/>
      <c r="E67" s="93"/>
      <c r="F67" s="96"/>
      <c r="G67" s="93"/>
      <c r="H67" s="93"/>
      <c r="I67" s="118"/>
      <c r="J67" s="119"/>
      <c r="K67" s="118"/>
      <c r="L67" s="119"/>
      <c r="M67" s="93"/>
      <c r="N67" s="93"/>
      <c r="O67" s="98"/>
    </row>
    <row r="68" spans="1:15" s="128" customFormat="1" x14ac:dyDescent="0.3">
      <c r="F68" s="129"/>
      <c r="I68" s="113"/>
      <c r="J68" s="133"/>
      <c r="K68" s="113"/>
      <c r="L68" s="133"/>
      <c r="O68" s="130"/>
    </row>
    <row r="69" spans="1:15" s="128" customFormat="1" x14ac:dyDescent="0.3">
      <c r="F69" s="129"/>
      <c r="I69" s="113"/>
      <c r="J69" s="133"/>
      <c r="K69" s="113"/>
      <c r="L69" s="133"/>
      <c r="O69" s="130"/>
    </row>
    <row r="70" spans="1:15" s="128" customFormat="1" x14ac:dyDescent="0.3">
      <c r="F70" s="129"/>
      <c r="I70" s="113"/>
      <c r="J70" s="133"/>
      <c r="K70" s="113"/>
      <c r="L70" s="133"/>
      <c r="O70" s="130"/>
    </row>
    <row r="71" spans="1:15" x14ac:dyDescent="0.3">
      <c r="A71" s="102" t="s">
        <v>121</v>
      </c>
      <c r="I71" s="113"/>
      <c r="J71" s="18"/>
      <c r="K71" s="113"/>
      <c r="L71" s="18"/>
      <c r="O71" s="124"/>
    </row>
    <row r="72" spans="1:15" x14ac:dyDescent="0.3">
      <c r="A72" s="33" t="s">
        <v>122</v>
      </c>
      <c r="B72" s="6" t="s">
        <v>113</v>
      </c>
      <c r="D72" s="6" t="s">
        <v>110</v>
      </c>
      <c r="E72" s="6" t="s">
        <v>32</v>
      </c>
      <c r="F72" s="34" t="s">
        <v>33</v>
      </c>
      <c r="G72" s="6" t="s">
        <v>114</v>
      </c>
      <c r="H72" s="6" t="s">
        <v>16</v>
      </c>
      <c r="I72" s="49">
        <v>65020</v>
      </c>
      <c r="J72" s="62">
        <v>44286</v>
      </c>
      <c r="K72" s="49">
        <v>65020</v>
      </c>
      <c r="L72" s="62">
        <v>44286</v>
      </c>
      <c r="M72" s="6">
        <f t="shared" ref="M72:N72" si="4">I72-K72</f>
        <v>0</v>
      </c>
      <c r="N72" s="6">
        <f t="shared" si="4"/>
        <v>0</v>
      </c>
      <c r="O72" s="127"/>
    </row>
    <row r="73" spans="1:15" x14ac:dyDescent="0.3">
      <c r="B73" s="6" t="s">
        <v>113</v>
      </c>
      <c r="D73" s="6" t="s">
        <v>110</v>
      </c>
      <c r="E73" s="6" t="s">
        <v>32</v>
      </c>
      <c r="F73" s="34" t="s">
        <v>33</v>
      </c>
      <c r="G73" s="6" t="s">
        <v>114</v>
      </c>
      <c r="H73" s="6" t="s">
        <v>16</v>
      </c>
      <c r="I73" s="49">
        <v>32610</v>
      </c>
      <c r="J73" s="62">
        <v>44286</v>
      </c>
      <c r="K73" s="49">
        <v>32610</v>
      </c>
      <c r="L73" s="62">
        <v>44286</v>
      </c>
      <c r="M73" s="6">
        <f t="shared" ref="M73:N75" si="5">I73-K73</f>
        <v>0</v>
      </c>
      <c r="N73" s="6">
        <f t="shared" si="5"/>
        <v>0</v>
      </c>
      <c r="O73" s="126"/>
    </row>
    <row r="74" spans="1:15" x14ac:dyDescent="0.3">
      <c r="B74" s="6" t="s">
        <v>113</v>
      </c>
      <c r="D74" s="6" t="s">
        <v>110</v>
      </c>
      <c r="E74" s="6" t="s">
        <v>32</v>
      </c>
      <c r="F74" s="34" t="s">
        <v>33</v>
      </c>
      <c r="G74" s="6" t="s">
        <v>114</v>
      </c>
      <c r="H74" s="6" t="s">
        <v>16</v>
      </c>
      <c r="I74" s="49">
        <v>100</v>
      </c>
      <c r="J74" s="62">
        <v>44286</v>
      </c>
      <c r="K74" s="49">
        <v>100</v>
      </c>
      <c r="L74" s="62">
        <v>44286</v>
      </c>
      <c r="M74" s="6">
        <f t="shared" si="5"/>
        <v>0</v>
      </c>
      <c r="N74" s="6">
        <f t="shared" si="5"/>
        <v>0</v>
      </c>
      <c r="O74" s="126"/>
    </row>
    <row r="75" spans="1:15" x14ac:dyDescent="0.3">
      <c r="B75" s="6" t="s">
        <v>113</v>
      </c>
      <c r="D75" s="6" t="s">
        <v>110</v>
      </c>
      <c r="E75" s="6" t="s">
        <v>32</v>
      </c>
      <c r="F75" s="34" t="s">
        <v>33</v>
      </c>
      <c r="G75" s="6" t="s">
        <v>114</v>
      </c>
      <c r="H75" s="6" t="s">
        <v>16</v>
      </c>
      <c r="I75" s="49">
        <v>100</v>
      </c>
      <c r="J75" s="62">
        <v>44286</v>
      </c>
      <c r="K75" s="49">
        <v>100</v>
      </c>
      <c r="L75" s="62">
        <v>44286</v>
      </c>
      <c r="M75" s="6">
        <f t="shared" si="5"/>
        <v>0</v>
      </c>
      <c r="N75" s="6">
        <f t="shared" si="5"/>
        <v>0</v>
      </c>
      <c r="O75" s="126"/>
    </row>
    <row r="76" spans="1:15" x14ac:dyDescent="0.3">
      <c r="O76" s="126"/>
    </row>
    <row r="77" spans="1:15" x14ac:dyDescent="0.3">
      <c r="O77" s="126"/>
    </row>
    <row r="78" spans="1:15" x14ac:dyDescent="0.3">
      <c r="A78" s="33" t="s">
        <v>123</v>
      </c>
      <c r="B78" s="6" t="s">
        <v>115</v>
      </c>
      <c r="D78" s="6" t="s">
        <v>111</v>
      </c>
      <c r="E78" s="6" t="s">
        <v>32</v>
      </c>
      <c r="F78" s="34" t="s">
        <v>33</v>
      </c>
      <c r="G78" s="6" t="s">
        <v>116</v>
      </c>
      <c r="H78" s="6" t="s">
        <v>16</v>
      </c>
      <c r="I78" s="49">
        <v>129000</v>
      </c>
      <c r="J78" s="62">
        <v>43889</v>
      </c>
      <c r="K78" s="49">
        <v>129000</v>
      </c>
      <c r="L78" s="62">
        <v>43889</v>
      </c>
      <c r="M78" s="6">
        <f t="shared" ref="M78:N78" si="6">I78-K78</f>
        <v>0</v>
      </c>
      <c r="N78" s="6">
        <f t="shared" si="6"/>
        <v>0</v>
      </c>
      <c r="O78" s="126"/>
    </row>
    <row r="79" spans="1:15" x14ac:dyDescent="0.3">
      <c r="J79" s="62"/>
      <c r="L79" s="62"/>
      <c r="O79" s="126"/>
    </row>
    <row r="80" spans="1:15" x14ac:dyDescent="0.3">
      <c r="J80" s="62"/>
      <c r="L80" s="62"/>
      <c r="O80" s="126"/>
    </row>
    <row r="81" spans="1:15" x14ac:dyDescent="0.3">
      <c r="A81" s="33" t="s">
        <v>124</v>
      </c>
      <c r="B81" s="6" t="s">
        <v>76</v>
      </c>
      <c r="D81" s="6" t="s">
        <v>34</v>
      </c>
      <c r="E81" s="6" t="s">
        <v>32</v>
      </c>
      <c r="F81" s="34" t="s">
        <v>33</v>
      </c>
      <c r="G81" s="18" t="s">
        <v>35</v>
      </c>
      <c r="H81" s="6" t="s">
        <v>16</v>
      </c>
      <c r="I81" s="120">
        <v>18999</v>
      </c>
      <c r="J81" s="114">
        <v>43951</v>
      </c>
      <c r="K81" s="120">
        <v>18999</v>
      </c>
      <c r="L81" s="114">
        <v>43951</v>
      </c>
      <c r="M81" s="32">
        <f t="shared" ref="M81:N83" si="7">I81-K81</f>
        <v>0</v>
      </c>
      <c r="N81" s="32">
        <f t="shared" si="7"/>
        <v>0</v>
      </c>
      <c r="O81" s="126"/>
    </row>
    <row r="82" spans="1:15" x14ac:dyDescent="0.3">
      <c r="B82" s="6" t="s">
        <v>76</v>
      </c>
      <c r="D82" s="6" t="s">
        <v>34</v>
      </c>
      <c r="E82" s="6" t="s">
        <v>32</v>
      </c>
      <c r="F82" s="34" t="s">
        <v>33</v>
      </c>
      <c r="G82" s="18" t="s">
        <v>35</v>
      </c>
      <c r="H82" s="6" t="s">
        <v>16</v>
      </c>
      <c r="I82" s="120">
        <v>16289</v>
      </c>
      <c r="J82" s="114">
        <v>43951</v>
      </c>
      <c r="K82" s="120">
        <v>16289</v>
      </c>
      <c r="L82" s="114">
        <v>43951</v>
      </c>
      <c r="M82" s="32">
        <f t="shared" si="7"/>
        <v>0</v>
      </c>
      <c r="N82" s="32">
        <f t="shared" si="7"/>
        <v>0</v>
      </c>
      <c r="O82" s="126"/>
    </row>
    <row r="83" spans="1:15" x14ac:dyDescent="0.3">
      <c r="B83" s="6" t="s">
        <v>76</v>
      </c>
      <c r="D83" s="6" t="s">
        <v>34</v>
      </c>
      <c r="E83" s="6" t="s">
        <v>32</v>
      </c>
      <c r="F83" s="34" t="s">
        <v>33</v>
      </c>
      <c r="G83" s="18" t="s">
        <v>35</v>
      </c>
      <c r="H83" s="6" t="s">
        <v>16</v>
      </c>
      <c r="I83" s="120">
        <v>85552</v>
      </c>
      <c r="J83" s="114">
        <v>43951</v>
      </c>
      <c r="K83" s="120">
        <v>85552</v>
      </c>
      <c r="L83" s="114">
        <v>43951</v>
      </c>
      <c r="M83" s="32">
        <f t="shared" si="7"/>
        <v>0</v>
      </c>
      <c r="N83" s="32">
        <f t="shared" si="7"/>
        <v>0</v>
      </c>
      <c r="O83" s="126"/>
    </row>
    <row r="84" spans="1:15" x14ac:dyDescent="0.3">
      <c r="J84" s="62"/>
      <c r="L84" s="62"/>
      <c r="O84" s="126"/>
    </row>
    <row r="85" spans="1:15" x14ac:dyDescent="0.3">
      <c r="A85" s="33" t="s">
        <v>125</v>
      </c>
      <c r="B85" s="6" t="s">
        <v>117</v>
      </c>
      <c r="D85" s="6" t="s">
        <v>112</v>
      </c>
      <c r="E85" s="6" t="s">
        <v>32</v>
      </c>
      <c r="F85" s="34" t="s">
        <v>33</v>
      </c>
      <c r="G85" s="6" t="s">
        <v>118</v>
      </c>
      <c r="H85" s="6" t="s">
        <v>16</v>
      </c>
      <c r="I85" s="49">
        <v>52975</v>
      </c>
      <c r="J85" s="62">
        <v>43921</v>
      </c>
      <c r="K85" s="49">
        <v>52975</v>
      </c>
      <c r="L85" s="62">
        <v>43921</v>
      </c>
      <c r="M85" s="6">
        <v>0</v>
      </c>
      <c r="N85" s="6">
        <v>0</v>
      </c>
      <c r="O85" s="126"/>
    </row>
    <row r="86" spans="1:15" x14ac:dyDescent="0.3">
      <c r="J86" s="62"/>
      <c r="L86" s="62"/>
      <c r="O86" s="126"/>
    </row>
    <row r="87" spans="1:15" x14ac:dyDescent="0.3">
      <c r="A87" s="33" t="s">
        <v>126</v>
      </c>
      <c r="B87" s="6" t="s">
        <v>119</v>
      </c>
      <c r="D87" s="6" t="s">
        <v>38</v>
      </c>
      <c r="E87" s="6" t="s">
        <v>32</v>
      </c>
      <c r="F87" s="34" t="s">
        <v>33</v>
      </c>
      <c r="G87" s="6" t="s">
        <v>120</v>
      </c>
      <c r="H87" s="6" t="s">
        <v>16</v>
      </c>
      <c r="I87" s="49">
        <v>34195</v>
      </c>
      <c r="J87" s="62">
        <v>43922</v>
      </c>
      <c r="K87" s="49">
        <v>34195</v>
      </c>
      <c r="L87" s="62">
        <v>43922</v>
      </c>
      <c r="M87" s="6">
        <v>0</v>
      </c>
      <c r="N87" s="6">
        <v>0</v>
      </c>
      <c r="O87" s="126"/>
    </row>
    <row r="88" spans="1:15" x14ac:dyDescent="0.3">
      <c r="J88" s="62"/>
      <c r="L88" s="62"/>
      <c r="O88" s="126"/>
    </row>
    <row r="89" spans="1:15" x14ac:dyDescent="0.3">
      <c r="A89" s="33" t="s">
        <v>127</v>
      </c>
      <c r="B89" s="6" t="s">
        <v>54</v>
      </c>
      <c r="D89" s="6" t="s">
        <v>55</v>
      </c>
      <c r="E89" s="6" t="s">
        <v>32</v>
      </c>
      <c r="F89" s="34" t="s">
        <v>33</v>
      </c>
      <c r="G89" s="18" t="s">
        <v>56</v>
      </c>
      <c r="H89" s="6" t="s">
        <v>16</v>
      </c>
      <c r="I89" s="113">
        <v>114</v>
      </c>
      <c r="J89" s="114">
        <v>44012</v>
      </c>
      <c r="K89" s="113">
        <v>114</v>
      </c>
      <c r="L89" s="114">
        <v>44012</v>
      </c>
      <c r="M89" s="32">
        <f t="shared" ref="M89:N93" si="8">I89-K89</f>
        <v>0</v>
      </c>
      <c r="N89" s="32">
        <f t="shared" si="8"/>
        <v>0</v>
      </c>
      <c r="O89" s="135"/>
    </row>
    <row r="90" spans="1:15" x14ac:dyDescent="0.3">
      <c r="B90" s="6" t="s">
        <v>57</v>
      </c>
      <c r="D90" s="6" t="s">
        <v>55</v>
      </c>
      <c r="E90" s="6" t="s">
        <v>32</v>
      </c>
      <c r="F90" s="34" t="s">
        <v>33</v>
      </c>
      <c r="G90" s="18" t="s">
        <v>56</v>
      </c>
      <c r="H90" s="6" t="s">
        <v>16</v>
      </c>
      <c r="I90" s="113">
        <v>66254</v>
      </c>
      <c r="J90" s="114">
        <v>44012</v>
      </c>
      <c r="K90" s="113">
        <v>66254</v>
      </c>
      <c r="L90" s="114">
        <v>44012</v>
      </c>
      <c r="M90" s="32">
        <f t="shared" si="8"/>
        <v>0</v>
      </c>
      <c r="N90" s="32">
        <f t="shared" si="8"/>
        <v>0</v>
      </c>
      <c r="O90" s="135"/>
    </row>
    <row r="91" spans="1:15" x14ac:dyDescent="0.3">
      <c r="B91" s="6" t="s">
        <v>58</v>
      </c>
      <c r="D91" s="6" t="s">
        <v>55</v>
      </c>
      <c r="E91" s="6" t="s">
        <v>32</v>
      </c>
      <c r="F91" s="34" t="s">
        <v>33</v>
      </c>
      <c r="G91" s="18" t="s">
        <v>56</v>
      </c>
      <c r="H91" s="6" t="s">
        <v>16</v>
      </c>
      <c r="I91" s="113">
        <v>113</v>
      </c>
      <c r="J91" s="114">
        <v>44012</v>
      </c>
      <c r="K91" s="113">
        <v>113</v>
      </c>
      <c r="L91" s="114">
        <v>44012</v>
      </c>
      <c r="M91" s="32">
        <f t="shared" si="8"/>
        <v>0</v>
      </c>
      <c r="N91" s="32">
        <f t="shared" si="8"/>
        <v>0</v>
      </c>
      <c r="O91" s="135"/>
    </row>
    <row r="92" spans="1:15" x14ac:dyDescent="0.3">
      <c r="A92" s="6" t="s">
        <v>258</v>
      </c>
      <c r="B92" s="6" t="s">
        <v>59</v>
      </c>
      <c r="D92" s="6" t="s">
        <v>55</v>
      </c>
      <c r="E92" s="6" t="s">
        <v>32</v>
      </c>
      <c r="F92" s="34" t="s">
        <v>33</v>
      </c>
      <c r="G92" s="18" t="s">
        <v>56</v>
      </c>
      <c r="H92" s="6" t="s">
        <v>16</v>
      </c>
      <c r="I92" s="113">
        <v>26322</v>
      </c>
      <c r="J92" s="114">
        <v>44012</v>
      </c>
      <c r="K92" s="113">
        <v>26322</v>
      </c>
      <c r="L92" s="114">
        <v>44012</v>
      </c>
      <c r="M92" s="32">
        <f t="shared" si="8"/>
        <v>0</v>
      </c>
      <c r="N92" s="32">
        <f t="shared" si="8"/>
        <v>0</v>
      </c>
      <c r="O92" s="135"/>
    </row>
    <row r="93" spans="1:15" x14ac:dyDescent="0.3">
      <c r="B93" s="6" t="s">
        <v>81</v>
      </c>
      <c r="D93" s="6" t="s">
        <v>55</v>
      </c>
      <c r="E93" s="6" t="s">
        <v>32</v>
      </c>
      <c r="F93" s="34" t="s">
        <v>33</v>
      </c>
      <c r="G93" s="18" t="s">
        <v>56</v>
      </c>
      <c r="H93" s="6" t="s">
        <v>16</v>
      </c>
      <c r="I93" s="113">
        <v>32517</v>
      </c>
      <c r="J93" s="114">
        <v>44012</v>
      </c>
      <c r="K93" s="113">
        <v>32517</v>
      </c>
      <c r="L93" s="114">
        <v>44012</v>
      </c>
      <c r="M93" s="32">
        <f t="shared" si="8"/>
        <v>0</v>
      </c>
      <c r="N93" s="32">
        <f t="shared" si="8"/>
        <v>0</v>
      </c>
      <c r="O93" s="135"/>
    </row>
    <row r="94" spans="1:15" x14ac:dyDescent="0.3">
      <c r="O94" s="126"/>
    </row>
    <row r="95" spans="1:15" ht="13.8" customHeight="1" x14ac:dyDescent="0.3">
      <c r="A95" s="103" t="s">
        <v>129</v>
      </c>
      <c r="B95" s="6" t="s">
        <v>77</v>
      </c>
      <c r="C95" s="62"/>
      <c r="D95" s="6" t="s">
        <v>38</v>
      </c>
      <c r="E95" s="6" t="s">
        <v>32</v>
      </c>
      <c r="F95" s="34" t="s">
        <v>33</v>
      </c>
      <c r="G95" s="18" t="s">
        <v>39</v>
      </c>
      <c r="H95" s="6" t="s">
        <v>16</v>
      </c>
      <c r="I95" s="113">
        <v>11163</v>
      </c>
      <c r="J95" s="114">
        <v>44074</v>
      </c>
      <c r="K95" s="113">
        <v>11163</v>
      </c>
      <c r="L95" s="114">
        <v>44074</v>
      </c>
      <c r="M95" s="32">
        <f t="shared" ref="M95:N96" si="9">I95-K95</f>
        <v>0</v>
      </c>
      <c r="N95" s="32">
        <f t="shared" si="9"/>
        <v>0</v>
      </c>
      <c r="O95" s="136" t="s">
        <v>108</v>
      </c>
    </row>
    <row r="96" spans="1:15" x14ac:dyDescent="0.3">
      <c r="A96" s="74"/>
      <c r="B96" s="6" t="s">
        <v>78</v>
      </c>
      <c r="C96" s="62"/>
      <c r="D96" s="6" t="s">
        <v>38</v>
      </c>
      <c r="E96" s="6" t="s">
        <v>32</v>
      </c>
      <c r="F96" s="34" t="s">
        <v>33</v>
      </c>
      <c r="G96" s="18" t="s">
        <v>39</v>
      </c>
      <c r="H96" s="6" t="s">
        <v>16</v>
      </c>
      <c r="I96" s="113">
        <v>182767</v>
      </c>
      <c r="J96" s="114">
        <v>44074</v>
      </c>
      <c r="K96" s="113">
        <v>182767</v>
      </c>
      <c r="L96" s="114">
        <v>44074</v>
      </c>
      <c r="M96" s="32">
        <f t="shared" si="9"/>
        <v>0</v>
      </c>
      <c r="N96" s="32">
        <f t="shared" si="9"/>
        <v>0</v>
      </c>
      <c r="O96" s="136"/>
    </row>
    <row r="97" spans="1:15" x14ac:dyDescent="0.3">
      <c r="O97" s="126"/>
    </row>
    <row r="98" spans="1:15" ht="27.6" x14ac:dyDescent="0.3">
      <c r="A98" s="103" t="s">
        <v>130</v>
      </c>
      <c r="B98" s="6" t="s">
        <v>74</v>
      </c>
      <c r="D98" s="6" t="s">
        <v>12</v>
      </c>
      <c r="E98" s="6" t="s">
        <v>13</v>
      </c>
      <c r="F98" s="34" t="s">
        <v>14</v>
      </c>
      <c r="G98" s="18" t="s">
        <v>15</v>
      </c>
      <c r="H98" s="6" t="s">
        <v>16</v>
      </c>
      <c r="I98" s="113">
        <v>100296</v>
      </c>
      <c r="J98" s="114">
        <v>44104</v>
      </c>
      <c r="K98" s="113">
        <v>100296</v>
      </c>
      <c r="L98" s="114">
        <v>44104</v>
      </c>
      <c r="M98" s="32">
        <f>I98-K98</f>
        <v>0</v>
      </c>
      <c r="N98" s="32">
        <f>J98-L98</f>
        <v>0</v>
      </c>
      <c r="O98" s="125" t="s">
        <v>128</v>
      </c>
    </row>
    <row r="99" spans="1:15" x14ac:dyDescent="0.3">
      <c r="O99" s="126"/>
    </row>
    <row r="100" spans="1:15" x14ac:dyDescent="0.3">
      <c r="A100" s="103" t="s">
        <v>148</v>
      </c>
      <c r="B100" s="6" t="s">
        <v>107</v>
      </c>
      <c r="C100" s="62"/>
      <c r="D100" s="6" t="s">
        <v>36</v>
      </c>
      <c r="E100" s="6" t="s">
        <v>32</v>
      </c>
      <c r="F100" s="34" t="s">
        <v>33</v>
      </c>
      <c r="G100" s="18" t="s">
        <v>37</v>
      </c>
      <c r="H100" s="6" t="s">
        <v>16</v>
      </c>
      <c r="I100" s="113">
        <v>197000</v>
      </c>
      <c r="J100" s="114">
        <v>44286</v>
      </c>
      <c r="K100" s="113">
        <v>197000</v>
      </c>
      <c r="L100" s="114">
        <v>44286</v>
      </c>
      <c r="M100" s="32">
        <f>I100-K100</f>
        <v>0</v>
      </c>
      <c r="N100" s="32">
        <f>J100-L100</f>
        <v>0</v>
      </c>
      <c r="O100" s="126"/>
    </row>
    <row r="101" spans="1:15" x14ac:dyDescent="0.3">
      <c r="A101" s="74"/>
      <c r="C101" s="62"/>
      <c r="G101" s="18"/>
      <c r="I101" s="113"/>
      <c r="J101" s="114"/>
      <c r="K101" s="113"/>
      <c r="L101" s="114"/>
      <c r="M101" s="32"/>
      <c r="N101" s="32"/>
      <c r="O101" s="126"/>
    </row>
    <row r="102" spans="1:15" ht="27.6" x14ac:dyDescent="0.3">
      <c r="A102" s="33" t="s">
        <v>150</v>
      </c>
      <c r="B102" s="6" t="s">
        <v>131</v>
      </c>
      <c r="C102" s="62" t="s">
        <v>143</v>
      </c>
      <c r="D102" s="6" t="s">
        <v>41</v>
      </c>
      <c r="E102" s="6" t="s">
        <v>32</v>
      </c>
      <c r="F102" s="34" t="s">
        <v>33</v>
      </c>
      <c r="G102" s="6" t="s">
        <v>42</v>
      </c>
      <c r="H102" s="6" t="s">
        <v>16</v>
      </c>
      <c r="I102" s="49">
        <v>370718.14</v>
      </c>
      <c r="J102" s="121">
        <v>44469</v>
      </c>
      <c r="K102" s="49">
        <v>370718.14</v>
      </c>
      <c r="L102" s="121">
        <v>44469</v>
      </c>
      <c r="M102" s="32">
        <f>I102-K102</f>
        <v>0</v>
      </c>
      <c r="N102" s="32">
        <f>J102-L102</f>
        <v>0</v>
      </c>
      <c r="O102" s="126" t="s">
        <v>149</v>
      </c>
    </row>
    <row r="103" spans="1:15" x14ac:dyDescent="0.3">
      <c r="O103" s="126"/>
    </row>
    <row r="104" spans="1:15" x14ac:dyDescent="0.3">
      <c r="A104" s="33" t="s">
        <v>239</v>
      </c>
      <c r="B104" s="6" t="s">
        <v>49</v>
      </c>
      <c r="C104" s="62" t="s">
        <v>141</v>
      </c>
      <c r="D104" s="6" t="s">
        <v>50</v>
      </c>
      <c r="E104" s="6" t="s">
        <v>32</v>
      </c>
      <c r="F104" s="34" t="s">
        <v>33</v>
      </c>
      <c r="G104" s="18" t="s">
        <v>42</v>
      </c>
      <c r="H104" s="6" t="s">
        <v>16</v>
      </c>
      <c r="O104" s="126"/>
    </row>
    <row r="105" spans="1:15" x14ac:dyDescent="0.3">
      <c r="A105" s="33"/>
      <c r="B105" s="6" t="s">
        <v>51</v>
      </c>
      <c r="C105" s="62" t="s">
        <v>142</v>
      </c>
      <c r="D105" s="6" t="s">
        <v>50</v>
      </c>
      <c r="E105" s="6" t="s">
        <v>32</v>
      </c>
      <c r="F105" s="34" t="s">
        <v>33</v>
      </c>
      <c r="G105" s="18" t="s">
        <v>42</v>
      </c>
      <c r="H105" s="6" t="s">
        <v>16</v>
      </c>
      <c r="O105" s="126"/>
    </row>
    <row r="106" spans="1:15" x14ac:dyDescent="0.3">
      <c r="O106" s="126"/>
    </row>
    <row r="107" spans="1:15" ht="27.6" x14ac:dyDescent="0.3">
      <c r="B107" s="50" t="s">
        <v>237</v>
      </c>
      <c r="D107" s="84"/>
      <c r="E107" s="50" t="s">
        <v>32</v>
      </c>
      <c r="F107" s="53" t="s">
        <v>33</v>
      </c>
      <c r="G107" s="50" t="s">
        <v>238</v>
      </c>
      <c r="I107" s="123">
        <v>100000</v>
      </c>
      <c r="J107" s="122">
        <v>44681</v>
      </c>
      <c r="K107" s="123">
        <v>100000</v>
      </c>
      <c r="L107" s="122">
        <v>44681</v>
      </c>
      <c r="M107" s="32">
        <f>K107 - I107</f>
        <v>0</v>
      </c>
      <c r="N107" s="32">
        <f>L107-J107</f>
        <v>0</v>
      </c>
      <c r="O107" s="126" t="s">
        <v>253</v>
      </c>
    </row>
    <row r="108" spans="1:15" x14ac:dyDescent="0.3">
      <c r="O108" s="126"/>
    </row>
    <row r="109" spans="1:15" ht="27.6" x14ac:dyDescent="0.3">
      <c r="B109" s="50" t="s">
        <v>225</v>
      </c>
      <c r="C109" s="50" t="s">
        <v>226</v>
      </c>
      <c r="D109" s="6" t="s">
        <v>242</v>
      </c>
      <c r="E109" s="50" t="s">
        <v>228</v>
      </c>
      <c r="F109" s="50" t="s">
        <v>229</v>
      </c>
      <c r="G109" s="50" t="s">
        <v>227</v>
      </c>
      <c r="H109" s="50" t="s">
        <v>226</v>
      </c>
      <c r="I109" s="110">
        <v>800</v>
      </c>
      <c r="J109" s="111">
        <v>44865</v>
      </c>
      <c r="K109" s="110">
        <v>800</v>
      </c>
      <c r="L109" s="111">
        <v>44865</v>
      </c>
      <c r="M109" s="32">
        <f>K109 - I109</f>
        <v>0</v>
      </c>
      <c r="N109" s="32">
        <f>L109-J109</f>
        <v>0</v>
      </c>
      <c r="O109" s="126" t="s">
        <v>255</v>
      </c>
    </row>
    <row r="110" spans="1:15" x14ac:dyDescent="0.3">
      <c r="O110" s="126"/>
    </row>
    <row r="111" spans="1:15" ht="27.6" x14ac:dyDescent="0.3">
      <c r="B111" s="50" t="s">
        <v>216</v>
      </c>
      <c r="C111" s="6" t="s">
        <v>236</v>
      </c>
      <c r="D111" s="84" t="s">
        <v>52</v>
      </c>
      <c r="E111" s="6" t="s">
        <v>32</v>
      </c>
      <c r="F111" s="34" t="s">
        <v>33</v>
      </c>
      <c r="G111" s="18" t="s">
        <v>53</v>
      </c>
      <c r="H111" s="6" t="s">
        <v>16</v>
      </c>
      <c r="I111" s="110">
        <v>59193</v>
      </c>
      <c r="J111" s="111">
        <v>44880</v>
      </c>
      <c r="K111" s="110">
        <v>59193</v>
      </c>
      <c r="L111" s="111">
        <v>44880</v>
      </c>
      <c r="M111" s="32">
        <f>K111 - I111</f>
        <v>0</v>
      </c>
      <c r="N111" s="32">
        <f>L111-J111</f>
        <v>0</v>
      </c>
      <c r="O111" s="126" t="s">
        <v>256</v>
      </c>
    </row>
    <row r="112" spans="1:15" x14ac:dyDescent="0.3">
      <c r="O112" s="126"/>
    </row>
    <row r="113" spans="2:15" ht="27.6" x14ac:dyDescent="0.3">
      <c r="B113" s="6" t="s">
        <v>174</v>
      </c>
      <c r="C113" s="6" t="s">
        <v>175</v>
      </c>
      <c r="E113" s="6" t="s">
        <v>13</v>
      </c>
      <c r="F113" s="34" t="s">
        <v>14</v>
      </c>
      <c r="G113" s="6" t="s">
        <v>176</v>
      </c>
      <c r="H113" s="6" t="s">
        <v>177</v>
      </c>
      <c r="I113" s="49">
        <v>18570</v>
      </c>
      <c r="J113" s="62">
        <v>44874</v>
      </c>
      <c r="K113" s="49">
        <v>18570</v>
      </c>
      <c r="L113" s="62">
        <v>44874</v>
      </c>
      <c r="M113" s="6">
        <v>0</v>
      </c>
      <c r="N113" s="6">
        <v>0</v>
      </c>
      <c r="O113" s="126" t="s">
        <v>257</v>
      </c>
    </row>
    <row r="114" spans="2:15" x14ac:dyDescent="0.3">
      <c r="O114" s="126"/>
    </row>
    <row r="115" spans="2:15" ht="41.4" x14ac:dyDescent="0.3">
      <c r="B115" s="50" t="s">
        <v>204</v>
      </c>
      <c r="E115" s="50" t="s">
        <v>207</v>
      </c>
      <c r="F115" s="53" t="s">
        <v>33</v>
      </c>
      <c r="G115" s="50" t="s">
        <v>206</v>
      </c>
      <c r="H115" s="50" t="s">
        <v>205</v>
      </c>
      <c r="I115" s="110">
        <v>2000</v>
      </c>
      <c r="J115" s="111">
        <v>44926</v>
      </c>
      <c r="K115" s="110">
        <v>2000</v>
      </c>
      <c r="L115" s="111">
        <v>44926</v>
      </c>
      <c r="M115" s="32">
        <f>K115 - I115</f>
        <v>0</v>
      </c>
      <c r="N115" s="32">
        <f>L115-J115</f>
        <v>0</v>
      </c>
      <c r="O115" s="126" t="s">
        <v>260</v>
      </c>
    </row>
    <row r="116" spans="2:15" x14ac:dyDescent="0.3">
      <c r="O116" s="126"/>
    </row>
    <row r="117" spans="2:15" x14ac:dyDescent="0.3">
      <c r="O117" s="124"/>
    </row>
    <row r="118" spans="2:15" x14ac:dyDescent="0.3">
      <c r="O118" s="124"/>
    </row>
    <row r="119" spans="2:15" x14ac:dyDescent="0.3">
      <c r="O119" s="124"/>
    </row>
    <row r="120" spans="2:15" x14ac:dyDescent="0.3">
      <c r="O120" s="124"/>
    </row>
    <row r="121" spans="2:15" x14ac:dyDescent="0.3">
      <c r="O121" s="124"/>
    </row>
    <row r="122" spans="2:15" x14ac:dyDescent="0.3">
      <c r="O122" s="124"/>
    </row>
    <row r="123" spans="2:15" x14ac:dyDescent="0.3">
      <c r="O123" s="124"/>
    </row>
    <row r="124" spans="2:15" x14ac:dyDescent="0.3">
      <c r="O124" s="124"/>
    </row>
    <row r="125" spans="2:15" x14ac:dyDescent="0.3">
      <c r="O125" s="124"/>
    </row>
    <row r="126" spans="2:15" x14ac:dyDescent="0.3">
      <c r="O126" s="124"/>
    </row>
    <row r="127" spans="2:15" x14ac:dyDescent="0.3">
      <c r="O127" s="124"/>
    </row>
    <row r="128" spans="2:15" x14ac:dyDescent="0.3">
      <c r="O128" s="124"/>
    </row>
    <row r="129" spans="15:15" x14ac:dyDescent="0.3">
      <c r="O129" s="124"/>
    </row>
    <row r="130" spans="15:15" x14ac:dyDescent="0.3">
      <c r="O130" s="124"/>
    </row>
    <row r="131" spans="15:15" x14ac:dyDescent="0.3">
      <c r="O131" s="124"/>
    </row>
    <row r="132" spans="15:15" x14ac:dyDescent="0.3">
      <c r="O132" s="124"/>
    </row>
    <row r="133" spans="15:15" x14ac:dyDescent="0.3">
      <c r="O133" s="124"/>
    </row>
    <row r="134" spans="15:15" x14ac:dyDescent="0.3">
      <c r="O134" s="124"/>
    </row>
    <row r="135" spans="15:15" x14ac:dyDescent="0.3">
      <c r="O135" s="124"/>
    </row>
    <row r="136" spans="15:15" x14ac:dyDescent="0.3">
      <c r="O136" s="124"/>
    </row>
    <row r="137" spans="15:15" x14ac:dyDescent="0.3">
      <c r="O137" s="124"/>
    </row>
    <row r="138" spans="15:15" x14ac:dyDescent="0.3">
      <c r="O138" s="124"/>
    </row>
    <row r="139" spans="15:15" x14ac:dyDescent="0.3">
      <c r="O139" s="124"/>
    </row>
    <row r="140" spans="15:15" x14ac:dyDescent="0.3">
      <c r="O140" s="124"/>
    </row>
    <row r="141" spans="15:15" x14ac:dyDescent="0.3">
      <c r="O141" s="124"/>
    </row>
    <row r="142" spans="15:15" x14ac:dyDescent="0.3">
      <c r="O142" s="124"/>
    </row>
    <row r="143" spans="15:15" x14ac:dyDescent="0.3">
      <c r="O143" s="124"/>
    </row>
    <row r="144" spans="15:15" x14ac:dyDescent="0.3">
      <c r="O144" s="124"/>
    </row>
    <row r="145" spans="15:15" x14ac:dyDescent="0.3">
      <c r="O145" s="124"/>
    </row>
    <row r="146" spans="15:15" x14ac:dyDescent="0.3">
      <c r="O146" s="124"/>
    </row>
    <row r="147" spans="15:15" x14ac:dyDescent="0.3">
      <c r="O147" s="124"/>
    </row>
    <row r="148" spans="15:15" x14ac:dyDescent="0.3">
      <c r="O148" s="124"/>
    </row>
    <row r="149" spans="15:15" x14ac:dyDescent="0.3">
      <c r="O149" s="124"/>
    </row>
    <row r="150" spans="15:15" x14ac:dyDescent="0.3">
      <c r="O150" s="124"/>
    </row>
    <row r="151" spans="15:15" x14ac:dyDescent="0.3">
      <c r="O151" s="124"/>
    </row>
    <row r="152" spans="15:15" x14ac:dyDescent="0.3">
      <c r="O152" s="124"/>
    </row>
    <row r="153" spans="15:15" x14ac:dyDescent="0.3">
      <c r="O153" s="124"/>
    </row>
    <row r="154" spans="15:15" x14ac:dyDescent="0.3">
      <c r="O154" s="124"/>
    </row>
    <row r="155" spans="15:15" x14ac:dyDescent="0.3">
      <c r="O155" s="124"/>
    </row>
    <row r="156" spans="15:15" x14ac:dyDescent="0.3">
      <c r="O156" s="124"/>
    </row>
    <row r="157" spans="15:15" x14ac:dyDescent="0.3">
      <c r="O157" s="124"/>
    </row>
    <row r="158" spans="15:15" x14ac:dyDescent="0.3">
      <c r="O158" s="124"/>
    </row>
    <row r="159" spans="15:15" x14ac:dyDescent="0.3">
      <c r="O159" s="124"/>
    </row>
    <row r="160" spans="15:15" x14ac:dyDescent="0.3">
      <c r="O160" s="124"/>
    </row>
    <row r="161" spans="15:15" x14ac:dyDescent="0.3">
      <c r="O161" s="124"/>
    </row>
    <row r="162" spans="15:15" x14ac:dyDescent="0.3">
      <c r="O162" s="124"/>
    </row>
    <row r="163" spans="15:15" x14ac:dyDescent="0.3">
      <c r="O163" s="124"/>
    </row>
    <row r="164" spans="15:15" x14ac:dyDescent="0.3">
      <c r="O164" s="124"/>
    </row>
    <row r="165" spans="15:15" x14ac:dyDescent="0.3">
      <c r="O165" s="124"/>
    </row>
    <row r="166" spans="15:15" x14ac:dyDescent="0.3">
      <c r="O166" s="124"/>
    </row>
    <row r="167" spans="15:15" x14ac:dyDescent="0.3">
      <c r="O167" s="124"/>
    </row>
    <row r="168" spans="15:15" x14ac:dyDescent="0.3">
      <c r="O168" s="124"/>
    </row>
    <row r="169" spans="15:15" x14ac:dyDescent="0.3">
      <c r="O169" s="124"/>
    </row>
    <row r="170" spans="15:15" x14ac:dyDescent="0.3">
      <c r="O170" s="124"/>
    </row>
    <row r="171" spans="15:15" x14ac:dyDescent="0.3">
      <c r="O171" s="124"/>
    </row>
    <row r="172" spans="15:15" x14ac:dyDescent="0.3">
      <c r="O172" s="124"/>
    </row>
    <row r="173" spans="15:15" x14ac:dyDescent="0.3">
      <c r="O173" s="124"/>
    </row>
    <row r="174" spans="15:15" x14ac:dyDescent="0.3">
      <c r="O174" s="124"/>
    </row>
    <row r="175" spans="15:15" x14ac:dyDescent="0.3">
      <c r="O175" s="124"/>
    </row>
    <row r="176" spans="15:15" x14ac:dyDescent="0.3">
      <c r="O176" s="124"/>
    </row>
    <row r="177" spans="15:15" x14ac:dyDescent="0.3">
      <c r="O177" s="124"/>
    </row>
    <row r="178" spans="15:15" x14ac:dyDescent="0.3">
      <c r="O178" s="124"/>
    </row>
    <row r="179" spans="15:15" x14ac:dyDescent="0.3">
      <c r="O179" s="124"/>
    </row>
    <row r="180" spans="15:15" x14ac:dyDescent="0.3">
      <c r="O180" s="124"/>
    </row>
    <row r="181" spans="15:15" x14ac:dyDescent="0.3">
      <c r="O181" s="124"/>
    </row>
    <row r="182" spans="15:15" x14ac:dyDescent="0.3">
      <c r="O182" s="124"/>
    </row>
    <row r="183" spans="15:15" x14ac:dyDescent="0.3">
      <c r="O183" s="124"/>
    </row>
    <row r="184" spans="15:15" x14ac:dyDescent="0.3">
      <c r="O184" s="124"/>
    </row>
    <row r="185" spans="15:15" x14ac:dyDescent="0.3">
      <c r="O185" s="124"/>
    </row>
    <row r="186" spans="15:15" x14ac:dyDescent="0.3">
      <c r="O186" s="124"/>
    </row>
    <row r="187" spans="15:15" x14ac:dyDescent="0.3">
      <c r="O187" s="124"/>
    </row>
    <row r="188" spans="15:15" x14ac:dyDescent="0.3">
      <c r="O188" s="124"/>
    </row>
    <row r="189" spans="15:15" x14ac:dyDescent="0.3">
      <c r="O189" s="124"/>
    </row>
    <row r="190" spans="15:15" x14ac:dyDescent="0.3">
      <c r="O190" s="124"/>
    </row>
    <row r="191" spans="15:15" x14ac:dyDescent="0.3">
      <c r="O191" s="124"/>
    </row>
    <row r="192" spans="15:15" x14ac:dyDescent="0.3">
      <c r="O192" s="124"/>
    </row>
    <row r="193" spans="15:15" x14ac:dyDescent="0.3">
      <c r="O193" s="124"/>
    </row>
    <row r="194" spans="15:15" x14ac:dyDescent="0.3">
      <c r="O194" s="124"/>
    </row>
    <row r="195" spans="15:15" x14ac:dyDescent="0.3">
      <c r="O195" s="124"/>
    </row>
    <row r="196" spans="15:15" x14ac:dyDescent="0.3">
      <c r="O196" s="124"/>
    </row>
    <row r="197" spans="15:15" x14ac:dyDescent="0.3">
      <c r="O197" s="124"/>
    </row>
    <row r="198" spans="15:15" x14ac:dyDescent="0.3">
      <c r="O198" s="124"/>
    </row>
    <row r="199" spans="15:15" x14ac:dyDescent="0.3">
      <c r="O199" s="124"/>
    </row>
    <row r="200" spans="15:15" x14ac:dyDescent="0.3">
      <c r="O200" s="124"/>
    </row>
    <row r="201" spans="15:15" x14ac:dyDescent="0.3">
      <c r="O201" s="124"/>
    </row>
    <row r="202" spans="15:15" x14ac:dyDescent="0.3">
      <c r="O202" s="124"/>
    </row>
  </sheetData>
  <mergeCells count="2">
    <mergeCell ref="O89:O93"/>
    <mergeCell ref="O95:O96"/>
  </mergeCells>
  <conditionalFormatting sqref="A17">
    <cfRule type="duplicateValues" dxfId="2" priority="30"/>
  </conditionalFormatting>
  <conditionalFormatting sqref="K78:K88">
    <cfRule type="duplicateValues" dxfId="1" priority="3"/>
  </conditionalFormatting>
  <conditionalFormatting sqref="I78:I88">
    <cfRule type="duplicateValues" dxfId="0" priority="1"/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J41"/>
  <sheetViews>
    <sheetView topLeftCell="A19" zoomScale="80" zoomScaleNormal="80" workbookViewId="0">
      <selection activeCell="G25" sqref="G25"/>
    </sheetView>
  </sheetViews>
  <sheetFormatPr defaultColWidth="8.77734375" defaultRowHeight="13.8" x14ac:dyDescent="0.3"/>
  <cols>
    <col min="1" max="1" width="8.77734375" style="6"/>
    <col min="2" max="2" width="14.44140625" style="6" customWidth="1"/>
    <col min="3" max="3" width="5.77734375" style="6" bestFit="1" customWidth="1"/>
    <col min="4" max="4" width="9.21875" style="6" bestFit="1" customWidth="1"/>
    <col min="5" max="5" width="7.21875" style="6" bestFit="1" customWidth="1"/>
    <col min="6" max="6" width="51.21875" style="6" bestFit="1" customWidth="1"/>
    <col min="7" max="7" width="12.77734375" style="6" bestFit="1" customWidth="1"/>
    <col min="8" max="8" width="14.77734375" style="6" customWidth="1"/>
    <col min="9" max="9" width="12.5546875" style="6" customWidth="1"/>
    <col min="10" max="16384" width="8.77734375" style="6"/>
  </cols>
  <sheetData>
    <row r="3" spans="2:9" ht="13.05" x14ac:dyDescent="0.3">
      <c r="B3" s="7" t="s">
        <v>1</v>
      </c>
      <c r="C3" s="8" t="s">
        <v>2</v>
      </c>
      <c r="D3" s="8" t="s">
        <v>3</v>
      </c>
      <c r="E3" s="8" t="s">
        <v>4</v>
      </c>
      <c r="F3" s="8" t="s">
        <v>5</v>
      </c>
      <c r="G3" s="8" t="s">
        <v>6</v>
      </c>
      <c r="H3" s="9" t="s">
        <v>7</v>
      </c>
      <c r="I3" s="10" t="s">
        <v>8</v>
      </c>
    </row>
    <row r="4" spans="2:9" ht="13.05" x14ac:dyDescent="0.3">
      <c r="B4" s="12" t="s">
        <v>24</v>
      </c>
      <c r="C4" s="12" t="s">
        <v>18</v>
      </c>
      <c r="D4" s="12" t="s">
        <v>19</v>
      </c>
      <c r="E4" s="12" t="s">
        <v>20</v>
      </c>
      <c r="F4" s="13" t="s">
        <v>25</v>
      </c>
      <c r="G4" s="12" t="s">
        <v>16</v>
      </c>
      <c r="H4" s="14">
        <v>15217</v>
      </c>
      <c r="I4" s="11">
        <v>43730</v>
      </c>
    </row>
    <row r="6" spans="2:9" ht="13.05" x14ac:dyDescent="0.3">
      <c r="B6" s="7" t="s">
        <v>1</v>
      </c>
      <c r="C6" s="8" t="s">
        <v>2</v>
      </c>
      <c r="D6" s="8" t="s">
        <v>3</v>
      </c>
      <c r="E6" s="8" t="s">
        <v>4</v>
      </c>
      <c r="F6" s="8" t="s">
        <v>5</v>
      </c>
      <c r="G6" s="8" t="s">
        <v>6</v>
      </c>
      <c r="H6" s="9" t="s">
        <v>7</v>
      </c>
      <c r="I6" s="10" t="s">
        <v>8</v>
      </c>
    </row>
    <row r="7" spans="2:9" ht="13.05" x14ac:dyDescent="0.3">
      <c r="B7" s="15" t="s">
        <v>76</v>
      </c>
      <c r="C7" s="15" t="s">
        <v>34</v>
      </c>
      <c r="D7" s="15" t="s">
        <v>32</v>
      </c>
      <c r="E7" s="15" t="s">
        <v>33</v>
      </c>
      <c r="F7" s="15" t="s">
        <v>35</v>
      </c>
      <c r="G7" s="15" t="s">
        <v>16</v>
      </c>
      <c r="H7" s="16">
        <v>18999</v>
      </c>
      <c r="I7" s="11">
        <v>43951</v>
      </c>
    </row>
    <row r="8" spans="2:9" ht="13.05" x14ac:dyDescent="0.3">
      <c r="B8" s="15" t="s">
        <v>76</v>
      </c>
      <c r="C8" s="15" t="s">
        <v>34</v>
      </c>
      <c r="D8" s="15" t="s">
        <v>32</v>
      </c>
      <c r="E8" s="15" t="s">
        <v>33</v>
      </c>
      <c r="F8" s="15" t="s">
        <v>35</v>
      </c>
      <c r="G8" s="15" t="s">
        <v>16</v>
      </c>
      <c r="H8" s="16">
        <v>16289</v>
      </c>
      <c r="I8" s="11">
        <v>43951</v>
      </c>
    </row>
    <row r="9" spans="2:9" ht="13.05" x14ac:dyDescent="0.3">
      <c r="B9" s="15" t="s">
        <v>76</v>
      </c>
      <c r="C9" s="15" t="s">
        <v>34</v>
      </c>
      <c r="D9" s="15" t="s">
        <v>32</v>
      </c>
      <c r="E9" s="15" t="s">
        <v>33</v>
      </c>
      <c r="F9" s="15" t="s">
        <v>35</v>
      </c>
      <c r="G9" s="15" t="s">
        <v>16</v>
      </c>
      <c r="H9" s="16">
        <v>85552</v>
      </c>
      <c r="I9" s="11">
        <v>43951</v>
      </c>
    </row>
    <row r="10" spans="2:9" ht="13.05" x14ac:dyDescent="0.3">
      <c r="B10" s="15" t="s">
        <v>54</v>
      </c>
      <c r="C10" s="15" t="s">
        <v>55</v>
      </c>
      <c r="D10" s="15" t="s">
        <v>32</v>
      </c>
      <c r="E10" s="15" t="s">
        <v>33</v>
      </c>
      <c r="F10" s="15" t="s">
        <v>56</v>
      </c>
      <c r="G10" s="15" t="s">
        <v>16</v>
      </c>
      <c r="H10" s="16">
        <v>114</v>
      </c>
      <c r="I10" s="11">
        <v>44012</v>
      </c>
    </row>
    <row r="11" spans="2:9" ht="13.05" x14ac:dyDescent="0.3">
      <c r="B11" s="15" t="s">
        <v>57</v>
      </c>
      <c r="C11" s="15" t="s">
        <v>55</v>
      </c>
      <c r="D11" s="15" t="s">
        <v>32</v>
      </c>
      <c r="E11" s="15" t="s">
        <v>33</v>
      </c>
      <c r="F11" s="15" t="s">
        <v>56</v>
      </c>
      <c r="G11" s="15" t="s">
        <v>16</v>
      </c>
      <c r="H11" s="16">
        <v>66254</v>
      </c>
      <c r="I11" s="11">
        <v>44012</v>
      </c>
    </row>
    <row r="12" spans="2:9" ht="13.05" x14ac:dyDescent="0.3">
      <c r="B12" s="15" t="s">
        <v>58</v>
      </c>
      <c r="C12" s="15" t="s">
        <v>55</v>
      </c>
      <c r="D12" s="15" t="s">
        <v>32</v>
      </c>
      <c r="E12" s="15" t="s">
        <v>33</v>
      </c>
      <c r="F12" s="15" t="s">
        <v>56</v>
      </c>
      <c r="G12" s="15" t="s">
        <v>16</v>
      </c>
      <c r="H12" s="16">
        <v>113</v>
      </c>
      <c r="I12" s="11">
        <v>44012</v>
      </c>
    </row>
    <row r="13" spans="2:9" ht="13.05" x14ac:dyDescent="0.3">
      <c r="B13" s="15" t="s">
        <v>59</v>
      </c>
      <c r="C13" s="15" t="s">
        <v>55</v>
      </c>
      <c r="D13" s="15" t="s">
        <v>32</v>
      </c>
      <c r="E13" s="15" t="s">
        <v>33</v>
      </c>
      <c r="F13" s="15" t="s">
        <v>56</v>
      </c>
      <c r="G13" s="15" t="s">
        <v>16</v>
      </c>
      <c r="H13" s="16">
        <v>26322</v>
      </c>
      <c r="I13" s="11">
        <v>44012</v>
      </c>
    </row>
    <row r="14" spans="2:9" ht="13.05" x14ac:dyDescent="0.3">
      <c r="B14" s="15" t="s">
        <v>81</v>
      </c>
      <c r="C14" s="15" t="s">
        <v>55</v>
      </c>
      <c r="D14" s="15" t="s">
        <v>32</v>
      </c>
      <c r="E14" s="15" t="s">
        <v>33</v>
      </c>
      <c r="F14" s="15" t="s">
        <v>56</v>
      </c>
      <c r="G14" s="15" t="s">
        <v>16</v>
      </c>
      <c r="H14" s="16">
        <v>32517</v>
      </c>
      <c r="I14" s="11">
        <v>44012</v>
      </c>
    </row>
    <row r="17" spans="2:10" ht="13.05" x14ac:dyDescent="0.3">
      <c r="B17" s="7" t="s">
        <v>1</v>
      </c>
      <c r="C17" s="8" t="s">
        <v>2</v>
      </c>
      <c r="D17" s="8" t="s">
        <v>3</v>
      </c>
      <c r="E17" s="8" t="s">
        <v>4</v>
      </c>
      <c r="F17" s="8" t="s">
        <v>5</v>
      </c>
      <c r="G17" s="8" t="s">
        <v>6</v>
      </c>
      <c r="H17" s="9" t="s">
        <v>7</v>
      </c>
      <c r="I17" s="10" t="s">
        <v>8</v>
      </c>
    </row>
    <row r="18" spans="2:10" ht="13.05" x14ac:dyDescent="0.3">
      <c r="B18" s="12" t="s">
        <v>28</v>
      </c>
      <c r="C18" s="12" t="s">
        <v>18</v>
      </c>
      <c r="D18" s="12" t="s">
        <v>19</v>
      </c>
      <c r="E18" s="12" t="s">
        <v>20</v>
      </c>
      <c r="F18" s="13" t="s">
        <v>21</v>
      </c>
      <c r="G18" s="12" t="s">
        <v>16</v>
      </c>
      <c r="H18" s="14">
        <v>74168</v>
      </c>
      <c r="I18" s="17">
        <v>43890</v>
      </c>
    </row>
    <row r="21" spans="2:10" ht="13.05" x14ac:dyDescent="0.3">
      <c r="B21" s="7" t="s">
        <v>1</v>
      </c>
      <c r="C21" s="8" t="s">
        <v>2</v>
      </c>
      <c r="D21" s="8" t="s">
        <v>3</v>
      </c>
      <c r="E21" s="8" t="s">
        <v>4</v>
      </c>
      <c r="F21" s="8" t="s">
        <v>5</v>
      </c>
      <c r="G21" s="8" t="s">
        <v>6</v>
      </c>
      <c r="H21" s="9" t="s">
        <v>7</v>
      </c>
      <c r="I21" s="10" t="s">
        <v>8</v>
      </c>
    </row>
    <row r="22" spans="2:10" ht="25.95" x14ac:dyDescent="0.3">
      <c r="B22" s="12" t="s">
        <v>70</v>
      </c>
      <c r="C22" s="12" t="s">
        <v>18</v>
      </c>
      <c r="D22" s="12" t="s">
        <v>19</v>
      </c>
      <c r="E22" s="12" t="s">
        <v>20</v>
      </c>
      <c r="F22" s="13" t="s">
        <v>23</v>
      </c>
      <c r="G22" s="12" t="s">
        <v>16</v>
      </c>
      <c r="H22" s="14">
        <v>57314</v>
      </c>
      <c r="I22" s="17">
        <v>43951</v>
      </c>
    </row>
    <row r="23" spans="2:10" ht="25.95" x14ac:dyDescent="0.3">
      <c r="B23" s="12" t="s">
        <v>69</v>
      </c>
      <c r="C23" s="12" t="s">
        <v>18</v>
      </c>
      <c r="D23" s="12" t="s">
        <v>19</v>
      </c>
      <c r="E23" s="12" t="s">
        <v>20</v>
      </c>
      <c r="F23" s="13" t="s">
        <v>22</v>
      </c>
      <c r="G23" s="12" t="s">
        <v>16</v>
      </c>
      <c r="H23" s="14">
        <v>46797</v>
      </c>
      <c r="I23" s="17">
        <v>43890</v>
      </c>
    </row>
    <row r="24" spans="2:10" x14ac:dyDescent="0.3">
      <c r="B24" s="12" t="s">
        <v>86</v>
      </c>
      <c r="C24" s="12" t="s">
        <v>89</v>
      </c>
      <c r="D24" s="12" t="s">
        <v>87</v>
      </c>
      <c r="E24" s="12" t="s">
        <v>20</v>
      </c>
      <c r="F24" s="13" t="s">
        <v>88</v>
      </c>
      <c r="G24" s="12" t="s">
        <v>16</v>
      </c>
      <c r="H24" s="14">
        <v>50000</v>
      </c>
      <c r="I24" s="17">
        <v>43921</v>
      </c>
    </row>
    <row r="27" spans="2:10" x14ac:dyDescent="0.3">
      <c r="B27" s="3" t="s">
        <v>85</v>
      </c>
      <c r="C27" s="1" t="s">
        <v>61</v>
      </c>
      <c r="D27" s="4" t="s">
        <v>62</v>
      </c>
      <c r="E27" s="4" t="s">
        <v>63</v>
      </c>
      <c r="F27" s="2" t="s">
        <v>64</v>
      </c>
      <c r="G27" s="4" t="s">
        <v>16</v>
      </c>
      <c r="H27" s="5">
        <v>51620</v>
      </c>
      <c r="J27" s="6" t="s">
        <v>101</v>
      </c>
    </row>
    <row r="31" spans="2:10" ht="27.6" x14ac:dyDescent="0.3">
      <c r="B31" s="7" t="s">
        <v>1</v>
      </c>
      <c r="C31" s="8" t="s">
        <v>2</v>
      </c>
      <c r="D31" s="8" t="s">
        <v>3</v>
      </c>
      <c r="E31" s="8" t="s">
        <v>4</v>
      </c>
      <c r="F31" s="8" t="s">
        <v>5</v>
      </c>
      <c r="G31" s="8" t="s">
        <v>6</v>
      </c>
      <c r="H31" s="9" t="s">
        <v>7</v>
      </c>
      <c r="I31" s="10" t="s">
        <v>8</v>
      </c>
    </row>
    <row r="32" spans="2:10" x14ac:dyDescent="0.3">
      <c r="B32" s="12" t="s">
        <v>40</v>
      </c>
      <c r="C32" s="12" t="s">
        <v>41</v>
      </c>
      <c r="D32" s="12" t="s">
        <v>32</v>
      </c>
      <c r="E32" s="12" t="s">
        <v>33</v>
      </c>
      <c r="F32" s="13" t="s">
        <v>42</v>
      </c>
      <c r="G32" s="12" t="s">
        <v>16</v>
      </c>
      <c r="H32" s="14">
        <v>28860.61</v>
      </c>
      <c r="I32" s="17">
        <v>43982</v>
      </c>
    </row>
    <row r="33" spans="2:9" x14ac:dyDescent="0.3">
      <c r="B33" s="12" t="s">
        <v>43</v>
      </c>
      <c r="C33" s="12" t="s">
        <v>41</v>
      </c>
      <c r="D33" s="12" t="s">
        <v>32</v>
      </c>
      <c r="E33" s="12" t="s">
        <v>33</v>
      </c>
      <c r="F33" s="13" t="s">
        <v>42</v>
      </c>
      <c r="G33" s="12" t="s">
        <v>16</v>
      </c>
      <c r="H33" s="14">
        <v>47847.51</v>
      </c>
      <c r="I33" s="17">
        <v>43982</v>
      </c>
    </row>
    <row r="34" spans="2:9" x14ac:dyDescent="0.3">
      <c r="B34" s="12" t="s">
        <v>44</v>
      </c>
      <c r="C34" s="12" t="s">
        <v>41</v>
      </c>
      <c r="D34" s="12" t="s">
        <v>32</v>
      </c>
      <c r="E34" s="12" t="s">
        <v>33</v>
      </c>
      <c r="F34" s="13" t="s">
        <v>42</v>
      </c>
      <c r="G34" s="12" t="s">
        <v>16</v>
      </c>
      <c r="H34" s="14">
        <v>237326.79</v>
      </c>
      <c r="I34" s="17">
        <v>43982</v>
      </c>
    </row>
    <row r="35" spans="2:9" x14ac:dyDescent="0.3">
      <c r="B35" s="12" t="s">
        <v>45</v>
      </c>
      <c r="C35" s="12" t="s">
        <v>41</v>
      </c>
      <c r="D35" s="12" t="s">
        <v>32</v>
      </c>
      <c r="E35" s="12" t="s">
        <v>33</v>
      </c>
      <c r="F35" s="13" t="s">
        <v>42</v>
      </c>
      <c r="G35" s="12" t="s">
        <v>16</v>
      </c>
      <c r="H35" s="14">
        <v>46933.23</v>
      </c>
      <c r="I35" s="17">
        <v>43982</v>
      </c>
    </row>
    <row r="36" spans="2:9" x14ac:dyDescent="0.3">
      <c r="B36" s="12" t="s">
        <v>46</v>
      </c>
      <c r="C36" s="12" t="s">
        <v>41</v>
      </c>
      <c r="D36" s="12" t="s">
        <v>32</v>
      </c>
      <c r="E36" s="12" t="s">
        <v>33</v>
      </c>
      <c r="F36" s="13" t="s">
        <v>42</v>
      </c>
      <c r="G36" s="12" t="s">
        <v>16</v>
      </c>
      <c r="H36" s="14">
        <v>9750</v>
      </c>
      <c r="I36" s="17">
        <v>43982</v>
      </c>
    </row>
    <row r="38" spans="2:9" ht="14.4" thickBot="1" x14ac:dyDescent="0.35"/>
    <row r="39" spans="2:9" ht="28.2" thickBot="1" x14ac:dyDescent="0.35">
      <c r="B39" s="28" t="s">
        <v>1</v>
      </c>
      <c r="C39" s="29" t="s">
        <v>2</v>
      </c>
      <c r="D39" s="29" t="s">
        <v>3</v>
      </c>
      <c r="E39" s="29" t="s">
        <v>4</v>
      </c>
      <c r="F39" s="29" t="s">
        <v>5</v>
      </c>
      <c r="G39" s="29" t="s">
        <v>6</v>
      </c>
      <c r="H39" s="30" t="s">
        <v>7</v>
      </c>
      <c r="I39" s="31" t="s">
        <v>8</v>
      </c>
    </row>
    <row r="40" spans="2:9" x14ac:dyDescent="0.3">
      <c r="B40" s="20" t="s">
        <v>26</v>
      </c>
      <c r="C40" s="21" t="s">
        <v>18</v>
      </c>
      <c r="D40" s="21" t="s">
        <v>19</v>
      </c>
      <c r="E40" s="21" t="s">
        <v>20</v>
      </c>
      <c r="F40" s="21" t="s">
        <v>27</v>
      </c>
      <c r="G40" s="21" t="s">
        <v>16</v>
      </c>
      <c r="H40" s="22">
        <v>25248</v>
      </c>
      <c r="I40" s="23">
        <v>44043</v>
      </c>
    </row>
    <row r="41" spans="2:9" ht="14.4" thickBot="1" x14ac:dyDescent="0.35">
      <c r="B41" s="24" t="s">
        <v>106</v>
      </c>
      <c r="C41" s="25" t="s">
        <v>18</v>
      </c>
      <c r="D41" s="25" t="s">
        <v>19</v>
      </c>
      <c r="E41" s="25" t="s">
        <v>20</v>
      </c>
      <c r="F41" s="25" t="s">
        <v>29</v>
      </c>
      <c r="G41" s="25" t="s">
        <v>16</v>
      </c>
      <c r="H41" s="26">
        <v>28054</v>
      </c>
      <c r="I41" s="27">
        <v>44043</v>
      </c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USI</vt:lpstr>
      <vt:lpstr>Sheet1</vt:lpstr>
    </vt:vector>
  </TitlesOfParts>
  <Company>Deloitte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Jack F.</dc:creator>
  <cp:lastModifiedBy>Khuntia, Sahil</cp:lastModifiedBy>
  <dcterms:created xsi:type="dcterms:W3CDTF">2016-04-05T13:43:27Z</dcterms:created>
  <dcterms:modified xsi:type="dcterms:W3CDTF">2023-06-07T08:19:03Z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2021-03-02T12:14:16Z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95fe0c96-b226-497f-a0e6-b9f08a646cac</vt:lpwstr>
  </property>
  <property fmtid="{D5CDD505-2E9C-101B-9397-08002B2CF9AE}" pid="8" name="MSIP_Label_ea60d57e-af5b-4752-ac57-3e4f28ca11dc_ContentBits">
    <vt:lpwstr>0</vt:lpwstr>
  </property>
</Properties>
</file>